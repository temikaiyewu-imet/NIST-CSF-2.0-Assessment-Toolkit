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XPS 15\Downloads\"/>
    </mc:Choice>
  </mc:AlternateContent>
  <xr:revisionPtr revIDLastSave="0" documentId="13_ncr:1_{03A97581-A8D9-4784-BE33-8828835BAB19}" xr6:coauthVersionLast="47" xr6:coauthVersionMax="47" xr10:uidLastSave="{00000000-0000-0000-0000-000000000000}"/>
  <bookViews>
    <workbookView xWindow="-96" yWindow="-96" windowWidth="23232" windowHeight="12552" tabRatio="500" firstSheet="6" activeTab="8" xr2:uid="{00000000-000D-0000-FFFF-FFFF00000000}"/>
  </bookViews>
  <sheets>
    <sheet name="📋 Cover" sheetId="1" r:id="rId1"/>
    <sheet name="GV — Govern" sheetId="2" r:id="rId2"/>
    <sheet name="ID — Identify" sheetId="3" r:id="rId3"/>
    <sheet name="PR — Protect" sheetId="4" r:id="rId4"/>
    <sheet name="DE — Detect" sheetId="5" r:id="rId5"/>
    <sheet name="RS — Respond" sheetId="6" r:id="rId6"/>
    <sheet name="RC — Recover" sheetId="7" r:id="rId7"/>
    <sheet name="📊 Scoring Dashboard" sheetId="8" r:id="rId8"/>
    <sheet name="🛣 Remediation Roadmap" sheetId="9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9" i="8" l="1"/>
  <c r="E19" i="8"/>
  <c r="C19" i="8"/>
  <c r="G18" i="8"/>
  <c r="H18" i="8" s="1"/>
  <c r="G17" i="8"/>
  <c r="H17" i="8" s="1"/>
  <c r="G16" i="8"/>
  <c r="H16" i="8" s="1"/>
  <c r="G15" i="8"/>
  <c r="H15" i="8" s="1"/>
  <c r="G14" i="8"/>
  <c r="H14" i="8" s="1"/>
  <c r="G13" i="8"/>
  <c r="H13" i="8" s="1"/>
  <c r="G19" i="8" l="1"/>
  <c r="H19" i="8" s="1"/>
</calcChain>
</file>

<file path=xl/sharedStrings.xml><?xml version="1.0" encoding="utf-8"?>
<sst xmlns="http://schemas.openxmlformats.org/spreadsheetml/2006/main" count="691" uniqueCount="383">
  <si>
    <t>NIST CSF 2.0
GAP ASSESSMENT QUESTIONNAIRE</t>
  </si>
  <si>
    <t>Simulation Engagement — NovaPay Inc.</t>
  </si>
  <si>
    <t>Client Company:</t>
  </si>
  <si>
    <t>NovaPay Inc.</t>
  </si>
  <si>
    <t>Industry:</t>
  </si>
  <si>
    <t>Fintech — Payment Processing</t>
  </si>
  <si>
    <t>Assessment Date:</t>
  </si>
  <si>
    <t>Consultant:</t>
  </si>
  <si>
    <t>Engagement Ref:</t>
  </si>
  <si>
    <t>NP-2024-001</t>
  </si>
  <si>
    <t>NIST CSF Version:</t>
  </si>
  <si>
    <t>2.0</t>
  </si>
  <si>
    <t>HOW TO USE THIS QUESTIONNAIRE</t>
  </si>
  <si>
    <t>1. Navigate to the tab for each NIST CSF Function (Govern, Identify, Protect, Detect, Respond, Recover).</t>
  </si>
  <si>
    <t>2. For each question, select a response from the dropdown in the STATUS column.</t>
  </si>
  <si>
    <t>3. Add notes in the EVIDENCE / NOTES column to document what exists or what is missing.</t>
  </si>
  <si>
    <t>4. The SCORING DASHBOARD tab will automatically calculate maturity scores.</t>
  </si>
  <si>
    <t>5. Use the REMEDIATION ROADMAP tab to prioritize gaps by risk level.</t>
  </si>
  <si>
    <t>6. Produce the final report using findings from all tabs.</t>
  </si>
  <si>
    <t>STATUS LEGEND</t>
  </si>
  <si>
    <t>YES</t>
  </si>
  <si>
    <t>Control is fully implemented and documented</t>
  </si>
  <si>
    <t>PARTIAL</t>
  </si>
  <si>
    <t>Control exists but is incomplete or inconsistent</t>
  </si>
  <si>
    <t>NO</t>
  </si>
  <si>
    <t>Control does not exist</t>
  </si>
  <si>
    <t>N/A</t>
  </si>
  <si>
    <t>Not applicable to this organization</t>
  </si>
  <si>
    <t>NIST CSF 2.0 — GV — Govern FUNCTION</t>
  </si>
  <si>
    <t>Establishes governance structures, policies, and roles for managing cybersecurity risk.</t>
  </si>
  <si>
    <t>Control ID</t>
  </si>
  <si>
    <t>Category</t>
  </si>
  <si>
    <t>Assessment Question</t>
  </si>
  <si>
    <t>Status</t>
  </si>
  <si>
    <t>Evidence / Notes</t>
  </si>
  <si>
    <t>Risk if Not Met</t>
  </si>
  <si>
    <t xml:space="preserve">  GV.OC — Organizational Context</t>
  </si>
  <si>
    <t>GV.OC-01</t>
  </si>
  <si>
    <t>Organizational Context</t>
  </si>
  <si>
    <t>Is there a documented mission/vision statement that includes cybersecurity responsibilities?</t>
  </si>
  <si>
    <t>GV.OC-02</t>
  </si>
  <si>
    <t>Has the organization identified its legal, regulatory, and contractual cybersecurity obligations?</t>
  </si>
  <si>
    <t>GV.OC-03</t>
  </si>
  <si>
    <t>Are stakeholder expectations around cybersecurity formally documented?</t>
  </si>
  <si>
    <t>GV.OC-04</t>
  </si>
  <si>
    <t>Is there a defined risk appetite statement approved by leadership?</t>
  </si>
  <si>
    <t>GV.OC-05</t>
  </si>
  <si>
    <t>Are critical objectives that cybersecurity must support identified and documented?</t>
  </si>
  <si>
    <t xml:space="preserve">  GV.RM — Risk Management Strategy</t>
  </si>
  <si>
    <t>GV.RM-01</t>
  </si>
  <si>
    <t>Risk Management Strategy</t>
  </si>
  <si>
    <t>Does the organization have a formal cybersecurity risk management strategy?</t>
  </si>
  <si>
    <t>GV.RM-02</t>
  </si>
  <si>
    <t>Is there a process to review and update the risk strategy periodically?</t>
  </si>
  <si>
    <t>GV.RM-03</t>
  </si>
  <si>
    <t>Are risk tolerance levels defined and communicated to relevant staff?</t>
  </si>
  <si>
    <t>GV.RM-04</t>
  </si>
  <si>
    <t>Is cybersecurity risk management integrated into overall enterprise risk management?</t>
  </si>
  <si>
    <t xml:space="preserve">  GV.RR — Roles &amp; Responsibilities</t>
  </si>
  <si>
    <t>GV.RR-01</t>
  </si>
  <si>
    <t>Roles &amp; Responsibilities</t>
  </si>
  <si>
    <t>Is there a named person responsible for cybersecurity (e.g. CISO, security lead)?</t>
  </si>
  <si>
    <t>GV.RR-02</t>
  </si>
  <si>
    <t>Are cybersecurity roles and responsibilities documented for all staff?</t>
  </si>
  <si>
    <t>GV.RR-03</t>
  </si>
  <si>
    <t>Is leadership (board/executive) accountable for cybersecurity outcomes?</t>
  </si>
  <si>
    <t>GV.RR-04</t>
  </si>
  <si>
    <t>Are third-party cybersecurity responsibilities clearly defined in contracts?</t>
  </si>
  <si>
    <t xml:space="preserve">  GV.PO — Policy</t>
  </si>
  <si>
    <t>GV.PO-01</t>
  </si>
  <si>
    <t>Policy</t>
  </si>
  <si>
    <t>Does the organization have a written cybersecurity policy?</t>
  </si>
  <si>
    <t>GV.PO-02</t>
  </si>
  <si>
    <t>Is the policy reviewed and updated at least annually?</t>
  </si>
  <si>
    <t>GV.PO-03</t>
  </si>
  <si>
    <t>Has the policy been communicated to and acknowledged by all employees?</t>
  </si>
  <si>
    <t>GV.PO-04</t>
  </si>
  <si>
    <t>Are policies aligned with industry standards (NIST, ISO, etc.)?</t>
  </si>
  <si>
    <t xml:space="preserve">  GV.OV — Oversight</t>
  </si>
  <si>
    <t>GV.OV-01</t>
  </si>
  <si>
    <t>Oversight</t>
  </si>
  <si>
    <t>Is cybersecurity performance reviewed by leadership on a regular basis?</t>
  </si>
  <si>
    <t>GV.OV-02</t>
  </si>
  <si>
    <t>Are cybersecurity KPIs or metrics tracked and reported to management?</t>
  </si>
  <si>
    <t>GV.OV-03</t>
  </si>
  <si>
    <t>Is there a process for leadership to respond when cybersecurity goals are not met?</t>
  </si>
  <si>
    <t xml:space="preserve">  GV.SC — Supply Chain Risk</t>
  </si>
  <si>
    <t>GV.SC-01</t>
  </si>
  <si>
    <t>Supply Chain Risk</t>
  </si>
  <si>
    <t>Are third-party vendors assessed for cybersecurity risk before onboarding?</t>
  </si>
  <si>
    <t>GV.SC-02</t>
  </si>
  <si>
    <t>Is there a vendor risk management policy in place?</t>
  </si>
  <si>
    <t>GV.SC-03</t>
  </si>
  <si>
    <t>Are vendor contracts reviewed for security requirements?</t>
  </si>
  <si>
    <t>GV.SC-04</t>
  </si>
  <si>
    <t>Is there a process to monitor ongoing third-party security compliance?</t>
  </si>
  <si>
    <t>NIST CSF 2.0 — ID — Identify FUNCTION</t>
  </si>
  <si>
    <t>Understanding the organization's assets, risks, and vulnerabilities.</t>
  </si>
  <si>
    <t xml:space="preserve">  ID.AM — Asset Management</t>
  </si>
  <si>
    <t>ID.AM-01</t>
  </si>
  <si>
    <t>Asset Management</t>
  </si>
  <si>
    <t>Does the organization maintain an inventory of all hardware assets?</t>
  </si>
  <si>
    <t>ID.AM-02</t>
  </si>
  <si>
    <t>Does the organization maintain an inventory of all software assets?</t>
  </si>
  <si>
    <t>ID.AM-03</t>
  </si>
  <si>
    <t>Are data flows and network diagrams documented?</t>
  </si>
  <si>
    <t>ID.AM-04</t>
  </si>
  <si>
    <t>Are external systems and connections identified and catalogued?</t>
  </si>
  <si>
    <t>ID.AM-05</t>
  </si>
  <si>
    <t>Are assets prioritized based on classification and criticality?</t>
  </si>
  <si>
    <t>ID.AM-06</t>
  </si>
  <si>
    <t>Are cybersecurity responsibilities for assets clearly assigned?</t>
  </si>
  <si>
    <t xml:space="preserve">  ID.RA — Risk Assessment</t>
  </si>
  <si>
    <t>ID.RA-01</t>
  </si>
  <si>
    <t>Risk Assessment</t>
  </si>
  <si>
    <t>Are vulnerabilities in assets identified and documented?</t>
  </si>
  <si>
    <t>ID.RA-02</t>
  </si>
  <si>
    <t>Is there a process to identify cyber threats relevant to the organization?</t>
  </si>
  <si>
    <t>ID.RA-03</t>
  </si>
  <si>
    <t>Are internal and external threats assessed regularly?</t>
  </si>
  <si>
    <t>ID.RA-04</t>
  </si>
  <si>
    <t>Are risk assessments formally documented and reviewed?</t>
  </si>
  <si>
    <t>ID.RA-05</t>
  </si>
  <si>
    <t>Are risks prioritized by likelihood and potential impact?</t>
  </si>
  <si>
    <t>ID.RA-06</t>
  </si>
  <si>
    <t>Is risk information shared with relevant stakeholders?</t>
  </si>
  <si>
    <t>ID.RA-07</t>
  </si>
  <si>
    <t>Are changes to the environment re-assessed for new risks?</t>
  </si>
  <si>
    <t xml:space="preserve">  ID.IM — Improvement</t>
  </si>
  <si>
    <t>ID.IM-01</t>
  </si>
  <si>
    <t>Improvement</t>
  </si>
  <si>
    <t>Are lessons learned from past incidents used to improve security posture?</t>
  </si>
  <si>
    <t>ID.IM-02</t>
  </si>
  <si>
    <t>Is there a process to incorporate new threat intelligence into risk assessments?</t>
  </si>
  <si>
    <t>ID.IM-03</t>
  </si>
  <si>
    <t>Are cybersecurity improvements tracked and measured over time?</t>
  </si>
  <si>
    <t>NIST CSF 2.0 — PR — Protect FUNCTION</t>
  </si>
  <si>
    <t>Implementing safeguards to ensure delivery of critical services.</t>
  </si>
  <si>
    <t xml:space="preserve">  PR.AA — Identity &amp; Access Management</t>
  </si>
  <si>
    <t>PR.AA-01</t>
  </si>
  <si>
    <t>Identity &amp; Access Management</t>
  </si>
  <si>
    <t>Are user accounts managed with a formal provisioning/de-provisioning process?</t>
  </si>
  <si>
    <t>PR.AA-02</t>
  </si>
  <si>
    <t>Is Multi-Factor Authentication (MFA) enforced for all users?</t>
  </si>
  <si>
    <t>PR.AA-03</t>
  </si>
  <si>
    <t>Is access granted based on least privilege principle?</t>
  </si>
  <si>
    <t>PR.AA-04</t>
  </si>
  <si>
    <t>Are privileged accounts (admin) separately managed and monitored?</t>
  </si>
  <si>
    <t>PR.AA-05</t>
  </si>
  <si>
    <t>Are remote access connections authenticated and encrypted?</t>
  </si>
  <si>
    <t>PR.AA-06</t>
  </si>
  <si>
    <t>Are user identities verified before access is granted to sensitive systems?</t>
  </si>
  <si>
    <t xml:space="preserve">  PR.AT — Awareness &amp; Training</t>
  </si>
  <si>
    <t>PR.AT-01</t>
  </si>
  <si>
    <t>Awareness &amp; Training</t>
  </si>
  <si>
    <t>Do all employees receive cybersecurity awareness training?</t>
  </si>
  <si>
    <t>PR.AT-02</t>
  </si>
  <si>
    <t>Is training conducted at onboarding and at least annually?</t>
  </si>
  <si>
    <t>PR.AT-03</t>
  </si>
  <si>
    <t>Do privileged users receive role-specific security training?</t>
  </si>
  <si>
    <t>PR.AT-04</t>
  </si>
  <si>
    <t>Is phishing simulation training conducted?</t>
  </si>
  <si>
    <t xml:space="preserve">  PR.DS — Data Security</t>
  </si>
  <si>
    <t>PR.DS-01</t>
  </si>
  <si>
    <t>Data Security</t>
  </si>
  <si>
    <t>Is data classified by sensitivity (e.g., public, internal, confidential)?</t>
  </si>
  <si>
    <t>PR.DS-02</t>
  </si>
  <si>
    <t>Is sensitive data encrypted at rest?</t>
  </si>
  <si>
    <t>PR.DS-03</t>
  </si>
  <si>
    <t>Is data encrypted in transit (TLS/HTTPS)?</t>
  </si>
  <si>
    <t>PR.DS-04</t>
  </si>
  <si>
    <t>Are data retention and disposal policies documented and enforced?</t>
  </si>
  <si>
    <t>PR.DS-05</t>
  </si>
  <si>
    <t>Are data leakage prevention (DLP) controls in place?</t>
  </si>
  <si>
    <t>PR.DS-06</t>
  </si>
  <si>
    <t>Is data integrity verified to prevent unauthorized modification?</t>
  </si>
  <si>
    <t xml:space="preserve">  PR.PS — Platform Security</t>
  </si>
  <si>
    <t>PR.PS-01</t>
  </si>
  <si>
    <t>Platform Security</t>
  </si>
  <si>
    <t>Are secure configuration baselines defined for all systems?</t>
  </si>
  <si>
    <t>PR.PS-02</t>
  </si>
  <si>
    <t>Is vulnerability scanning conducted regularly?</t>
  </si>
  <si>
    <t>PR.PS-03</t>
  </si>
  <si>
    <t>Is there a patch management process for all systems?</t>
  </si>
  <si>
    <t>PR.PS-04</t>
  </si>
  <si>
    <t>Are audit logs enabled on all critical systems?</t>
  </si>
  <si>
    <t>PR.PS-05</t>
  </si>
  <si>
    <t>Is software installation restricted to approved applications?</t>
  </si>
  <si>
    <t xml:space="preserve">  PR.IR — Technology Infrastructure Resilience</t>
  </si>
  <si>
    <t>PR.IR-01</t>
  </si>
  <si>
    <t>Technology Infrastructure Resilience</t>
  </si>
  <si>
    <t>Is there a data backup policy with defined frequency and retention?</t>
  </si>
  <si>
    <t>PR.IR-02</t>
  </si>
  <si>
    <t>Are backups stored offsite or in a separate environment?</t>
  </si>
  <si>
    <t>PR.IR-03</t>
  </si>
  <si>
    <t>Are backup restorations tested periodically?</t>
  </si>
  <si>
    <t>PR.IR-04</t>
  </si>
  <si>
    <t>Is network segmentation implemented to limit lateral movement?</t>
  </si>
  <si>
    <t>NIST CSF 2.0 — DE — Detect FUNCTION</t>
  </si>
  <si>
    <t>Identifying the occurrence of cybersecurity events.</t>
  </si>
  <si>
    <t xml:space="preserve">  DE.CM — Continuous Monitoring</t>
  </si>
  <si>
    <t>DE.CM-01</t>
  </si>
  <si>
    <t>Continuous Monitoring</t>
  </si>
  <si>
    <t>Is network traffic monitored for anomalies?</t>
  </si>
  <si>
    <t>DE.CM-02</t>
  </si>
  <si>
    <t>Are endpoint devices monitored for suspicious activity?</t>
  </si>
  <si>
    <t>DE.CM-03</t>
  </si>
  <si>
    <t>Is physical access to facilities monitored?</t>
  </si>
  <si>
    <t>DE.CM-04</t>
  </si>
  <si>
    <t>Is user activity monitored for insider threat indicators?</t>
  </si>
  <si>
    <t>DE.CM-05</t>
  </si>
  <si>
    <t>Are external service providers monitored for security events?</t>
  </si>
  <si>
    <t>DE.CM-06</t>
  </si>
  <si>
    <t>Are vulnerability scans scheduled and reviewed regularly?</t>
  </si>
  <si>
    <t>DE.CM-07</t>
  </si>
  <si>
    <t>Are unauthorized assets or connections detected?</t>
  </si>
  <si>
    <t xml:space="preserve">  DE.AE — Adverse Event Analysis</t>
  </si>
  <si>
    <t>DE.AE-01</t>
  </si>
  <si>
    <t>Adverse Event Analysis</t>
  </si>
  <si>
    <t>Is there a defined baseline of normal network and user behavior?</t>
  </si>
  <si>
    <t>DE.AE-02</t>
  </si>
  <si>
    <t>Are security alerts correlated across multiple sources (SIEM)?</t>
  </si>
  <si>
    <t>DE.AE-03</t>
  </si>
  <si>
    <t>Are detected events analyzed to determine if they are incidents?</t>
  </si>
  <si>
    <t>DE.AE-04</t>
  </si>
  <si>
    <t>Is the impact of detected events estimated?</t>
  </si>
  <si>
    <t>DE.AE-05</t>
  </si>
  <si>
    <t>Are incident alert thresholds defined and reviewed?</t>
  </si>
  <si>
    <t>DE.AE-06</t>
  </si>
  <si>
    <t>Is cybersecurity threat intelligence used to improve detection?</t>
  </si>
  <si>
    <t>DE.AE-07</t>
  </si>
  <si>
    <t>Are detection findings shared with appropriate stakeholders?</t>
  </si>
  <si>
    <t>NIST CSF 2.0 — RS — Respond FUNCTION</t>
  </si>
  <si>
    <t>Taking action regarding a detected cybersecurity incident.</t>
  </si>
  <si>
    <t xml:space="preserve">  RS.MA — Incident Management</t>
  </si>
  <si>
    <t>RS.MA-01</t>
  </si>
  <si>
    <t>Incident Management</t>
  </si>
  <si>
    <t>Is there a documented Incident Response Plan (IRP)?</t>
  </si>
  <si>
    <t>RS.MA-02</t>
  </si>
  <si>
    <t>Are incidents categorized and triaged by severity?</t>
  </si>
  <si>
    <t>RS.MA-03</t>
  </si>
  <si>
    <t>Are incidents reported to appropriate internal stakeholders?</t>
  </si>
  <si>
    <t>RS.MA-04</t>
  </si>
  <si>
    <t>Is there a process to escalate incidents when needed?</t>
  </si>
  <si>
    <t>RS.MA-05</t>
  </si>
  <si>
    <t>Are incidents voluntarily reported to authorities where required?</t>
  </si>
  <si>
    <t xml:space="preserve">  RS.AN — Incident Analysis</t>
  </si>
  <si>
    <t>RS.AN-01</t>
  </si>
  <si>
    <t>Incident Analysis</t>
  </si>
  <si>
    <t>Are root cause analyses conducted after incidents?</t>
  </si>
  <si>
    <t>RS.AN-02</t>
  </si>
  <si>
    <t>Is forensic evidence collected and preserved properly?</t>
  </si>
  <si>
    <t>RS.AN-03</t>
  </si>
  <si>
    <t>Are incidents analyzed to understand their scope and impact?</t>
  </si>
  <si>
    <t>RS.AN-04</t>
  </si>
  <si>
    <t>Are incident findings documented in a formal report?</t>
  </si>
  <si>
    <t>RS.AN-05</t>
  </si>
  <si>
    <t>Is threat intelligence generated from incident analysis?</t>
  </si>
  <si>
    <t>RS.AN-06</t>
  </si>
  <si>
    <t>Are incidents analyzed against known attack frameworks (e.g., MITRE ATT&amp;CK)?</t>
  </si>
  <si>
    <t xml:space="preserve">  RS.CO — Incident Response Reporting &amp; Communication</t>
  </si>
  <si>
    <t>RS.CO-01</t>
  </si>
  <si>
    <t>Incident Response Reporting &amp; Communication</t>
  </si>
  <si>
    <t>Are communication plans defined for incident response?</t>
  </si>
  <si>
    <t>RS.CO-02</t>
  </si>
  <si>
    <t>Are incidents reported to relevant regulators/authorities when required?</t>
  </si>
  <si>
    <t>RS.CO-03</t>
  </si>
  <si>
    <t>Is information shared with industry partners/ISACs during incidents?</t>
  </si>
  <si>
    <t xml:space="preserve">  RS.MI — Incident Mitigation</t>
  </si>
  <si>
    <t>RS.MI-01</t>
  </si>
  <si>
    <t>Incident Mitigation</t>
  </si>
  <si>
    <t>Are affected systems contained/isolated during an incident?</t>
  </si>
  <si>
    <t>RS.MI-02</t>
  </si>
  <si>
    <t>Are incidents eradicated (malware removed, vulnerabilities patched)?</t>
  </si>
  <si>
    <t>RS.MI-03</t>
  </si>
  <si>
    <t>Are new vulnerabilities identified during incidents mitigated promptly?</t>
  </si>
  <si>
    <t>NIST CSF 2.0 — RC — Recover FUNCTION</t>
  </si>
  <si>
    <t>Maintaining plans for resilience and restoring capabilities after a cybersecurity incident.</t>
  </si>
  <si>
    <t xml:space="preserve">  RC.RP — Incident Recovery Plan</t>
  </si>
  <si>
    <t>RC.RP-01</t>
  </si>
  <si>
    <t>Incident Recovery Plan</t>
  </si>
  <si>
    <t>Is there a documented Business Continuity / Disaster Recovery Plan?</t>
  </si>
  <si>
    <t>RC.RP-02</t>
  </si>
  <si>
    <t>Are recovery objectives (RTO/RPO) defined for critical systems?</t>
  </si>
  <si>
    <t>RC.RP-03</t>
  </si>
  <si>
    <t>Is the recovery plan tested at least annually?</t>
  </si>
  <si>
    <t>RC.RP-04</t>
  </si>
  <si>
    <t>Are recovery procedures documented for all critical systems?</t>
  </si>
  <si>
    <t>RC.RP-05</t>
  </si>
  <si>
    <t>Are roles assigned for recovery execution?</t>
  </si>
  <si>
    <t xml:space="preserve">  RC.CO — Incident Recovery Communication</t>
  </si>
  <si>
    <t>RC.CO-01</t>
  </si>
  <si>
    <t>Incident Recovery Communication</t>
  </si>
  <si>
    <t>Are stakeholders informed about recovery progress during an incident?</t>
  </si>
  <si>
    <t>RC.CO-02</t>
  </si>
  <si>
    <t>Is there a PR/communications plan for public-facing incidents?</t>
  </si>
  <si>
    <t>RC.CO-03</t>
  </si>
  <si>
    <t>Are lessons learned from recovery shared to improve future response?</t>
  </si>
  <si>
    <t>NIST CSF 2.0 — SCORING DASHBOARD</t>
  </si>
  <si>
    <t>NovaPay Inc. — Maturity Assessment Summary</t>
  </si>
  <si>
    <t>⚠  Enter scores manually below based on your questionnaire findings (0 = Not Done, 1 = Partial, 2 = Fully Done per control)</t>
  </si>
  <si>
    <t>NIST CSF MATURITY TIERS</t>
  </si>
  <si>
    <t>Tier 1 — Partial</t>
  </si>
  <si>
    <t>0% – 25%</t>
  </si>
  <si>
    <t>Reactive, no formal processes. Security is ad hoc.</t>
  </si>
  <si>
    <t>Tier 2 — Risk Informed</t>
  </si>
  <si>
    <t>26% – 50%</t>
  </si>
  <si>
    <t>Some awareness, policies exist but not consistently applied.</t>
  </si>
  <si>
    <t>Tier 3 — Repeatable</t>
  </si>
  <si>
    <t>51% – 75%</t>
  </si>
  <si>
    <t>Formal policies followed organization-wide.</t>
  </si>
  <si>
    <t>Tier 4 — Adaptive</t>
  </si>
  <si>
    <t>76% – 100%</t>
  </si>
  <si>
    <t>Proactive, continuously improving security posture.</t>
  </si>
  <si>
    <t>Function</t>
  </si>
  <si>
    <t>Total Controls</t>
  </si>
  <si>
    <t>NO / Missing</t>
  </si>
  <si>
    <t>Score %</t>
  </si>
  <si>
    <t>Maturity Tier</t>
  </si>
  <si>
    <t>GV — Govern</t>
  </si>
  <si>
    <t>ID — Identify</t>
  </si>
  <si>
    <t>PR — Protect</t>
  </si>
  <si>
    <t>DE — Detect</t>
  </si>
  <si>
    <t>RS — Respond</t>
  </si>
  <si>
    <t>RC — Recover</t>
  </si>
  <si>
    <t>OVERALL SCORE</t>
  </si>
  <si>
    <t>NIST CSF 2.0 — REMEDIATION ROADMAP</t>
  </si>
  <si>
    <t>NovaPay Inc. — 90-Day Priority Fix Plan</t>
  </si>
  <si>
    <t>Gap Identified</t>
  </si>
  <si>
    <t>Risk Level</t>
  </si>
  <si>
    <t>Priority</t>
  </si>
  <si>
    <t>Recommended Action</t>
  </si>
  <si>
    <t>Owner</t>
  </si>
  <si>
    <t>Target Date</t>
  </si>
  <si>
    <t>No named security responsible person</t>
  </si>
  <si>
    <t>HIGH</t>
  </si>
  <si>
    <t>P1 — Immediate</t>
  </si>
  <si>
    <t>Appoint CISO or Security Lead. Define charter.</t>
  </si>
  <si>
    <t>CEO</t>
  </si>
  <si>
    <t>30 days</t>
  </si>
  <si>
    <t>Not Started</t>
  </si>
  <si>
    <t>No written cybersecurity policy</t>
  </si>
  <si>
    <t>Draft and approve cybersecurity policy document</t>
  </si>
  <si>
    <t>Security Lead</t>
  </si>
  <si>
    <t>MFA not enforced for any users</t>
  </si>
  <si>
    <t>Enable MFA on all accounts (Google, AWS, banking)</t>
  </si>
  <si>
    <t>IT Admin</t>
  </si>
  <si>
    <t>14 days</t>
  </si>
  <si>
    <t>No employee security awareness training</t>
  </si>
  <si>
    <t>Enroll all staff in KnowBe4 or free SANS training</t>
  </si>
  <si>
    <t>HR / Security</t>
  </si>
  <si>
    <t>45 days</t>
  </si>
  <si>
    <t>Customer data not encrypted at rest</t>
  </si>
  <si>
    <t>Enable encryption on databases (AES-256 minimum)</t>
  </si>
  <si>
    <t>Engineering</t>
  </si>
  <si>
    <t>21 days</t>
  </si>
  <si>
    <t>No Incident Response Plan exists</t>
  </si>
  <si>
    <t>Draft IRP using NIST 800-61 template</t>
  </si>
  <si>
    <t>No hardware asset inventory</t>
  </si>
  <si>
    <t>MEDIUM</t>
  </si>
  <si>
    <t>P2 — Short Term</t>
  </si>
  <si>
    <t>Create asset register (spreadsheet or tool)</t>
  </si>
  <si>
    <t>No software asset inventory</t>
  </si>
  <si>
    <t>Document all SaaS tools and internal software</t>
  </si>
  <si>
    <t>No network monitoring in place</t>
  </si>
  <si>
    <t>Implement basic monitoring (CloudWatch, Datadog free tier)</t>
  </si>
  <si>
    <t>60 days</t>
  </si>
  <si>
    <t>No documented backup policy</t>
  </si>
  <si>
    <t>Define backup schedule, retention, and test restore</t>
  </si>
  <si>
    <t>No formal risk assessment done</t>
  </si>
  <si>
    <t>Conduct annual risk assessment using NIST template</t>
  </si>
  <si>
    <t>No SIEM or log correlation</t>
  </si>
  <si>
    <t>LOW</t>
  </si>
  <si>
    <t>P3 — Medium Term</t>
  </si>
  <si>
    <t>Evaluate SIEM tools (Splunk free, Azure Sentinel)</t>
  </si>
  <si>
    <t>90 days</t>
  </si>
  <si>
    <t>No BCP/DR plan documented</t>
  </si>
  <si>
    <t>Draft BCP with RTO/RPO objectives for critical systems</t>
  </si>
  <si>
    <t>No vendor risk assessment process</t>
  </si>
  <si>
    <t>Create vendor questionnaire and risk scoring</t>
  </si>
  <si>
    <t>No patch management process</t>
  </si>
  <si>
    <t>Define patch schedule (monthly) and assign ownership</t>
  </si>
  <si>
    <t>Ayooluwznitemi Kaiyewu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</si>
</sst>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22"/>
      <color rgb="FFFFFFFF"/>
      <name val="Arial"/>
      <charset val="1"/>
    </font>
    <font>
      <sz val="13"/>
      <color rgb="FFFFFFFF"/>
      <name val="Arial"/>
      <charset val="1"/>
    </font>
    <font>
      <b/>
      <sz val="11"/>
      <color rgb="FFFFFFFF"/>
      <name val="Arial"/>
      <charset val="1"/>
    </font>
    <font>
      <sz val="11"/>
      <color rgb="FF0D1B2A"/>
      <name val="Arial"/>
      <charset val="1"/>
    </font>
    <font>
      <b/>
      <sz val="12"/>
      <color rgb="FFFFFFFF"/>
      <name val="Arial"/>
      <charset val="1"/>
    </font>
    <font>
      <sz val="10"/>
      <color rgb="FF0D1B2A"/>
      <name val="Arial"/>
      <charset val="1"/>
    </font>
    <font>
      <b/>
      <sz val="16"/>
      <color rgb="FFFFFFFF"/>
      <name val="Arial"/>
      <charset val="1"/>
    </font>
    <font>
      <sz val="10"/>
      <color rgb="FF444444"/>
      <name val="Arial"/>
      <charset val="1"/>
    </font>
    <font>
      <b/>
      <sz val="18"/>
      <color rgb="FFFFFFFF"/>
      <name val="Arial"/>
      <charset val="1"/>
    </font>
    <font>
      <sz val="12"/>
      <color rgb="FFFFFFFF"/>
      <name val="Arial"/>
      <charset val="1"/>
    </font>
    <font>
      <b/>
      <sz val="10"/>
      <color rgb="FF0D1B2A"/>
      <name val="Arial"/>
      <charset val="1"/>
    </font>
  </fonts>
  <fills count="23">
    <fill>
      <patternFill patternType="none"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1B4F72"/>
        <bgColor rgb="FF1A5276"/>
      </patternFill>
    </fill>
    <fill>
      <patternFill patternType="solid">
        <fgColor rgb="FFD6EAF8"/>
        <bgColor rgb="FFD1F2EB"/>
      </patternFill>
    </fill>
    <fill>
      <patternFill patternType="solid">
        <fgColor rgb="FF2E86C1"/>
        <bgColor rgb="FF008080"/>
      </patternFill>
    </fill>
    <fill>
      <patternFill patternType="solid">
        <fgColor rgb="FFFFFFFF"/>
        <bgColor rgb="FFFEF9E7"/>
      </patternFill>
    </fill>
    <fill>
      <patternFill patternType="solid">
        <fgColor rgb="FF1E8449"/>
        <bgColor rgb="FF117864"/>
      </patternFill>
    </fill>
    <fill>
      <patternFill patternType="solid">
        <fgColor rgb="FFF2F3F4"/>
        <bgColor rgb="FFFEF9E7"/>
      </patternFill>
    </fill>
    <fill>
      <patternFill patternType="solid">
        <fgColor rgb="FFF39C12"/>
        <bgColor rgb="FFFFCC00"/>
      </patternFill>
    </fill>
    <fill>
      <patternFill patternType="solid">
        <fgColor rgb="FFC0392B"/>
        <bgColor rgb="FF922B21"/>
      </patternFill>
    </fill>
    <fill>
      <patternFill patternType="solid">
        <fgColor rgb="FFBDC3C7"/>
        <bgColor rgb="FFE8DAEF"/>
      </patternFill>
    </fill>
    <fill>
      <patternFill patternType="solid">
        <fgColor rgb="FF6C3483"/>
        <bgColor rgb="FF444444"/>
      </patternFill>
    </fill>
    <fill>
      <patternFill patternType="solid">
        <fgColor rgb="FFE8DAEF"/>
        <bgColor rgb="FFFADBD8"/>
      </patternFill>
    </fill>
    <fill>
      <patternFill patternType="solid">
        <fgColor rgb="FF1A5276"/>
        <bgColor rgb="FF1B4F72"/>
      </patternFill>
    </fill>
    <fill>
      <patternFill patternType="solid">
        <fgColor rgb="FFD5F5E3"/>
        <bgColor rgb="FFD1F2EB"/>
      </patternFill>
    </fill>
    <fill>
      <patternFill patternType="solid">
        <fgColor rgb="FF7D6608"/>
        <bgColor rgb="FF808080"/>
      </patternFill>
    </fill>
    <fill>
      <patternFill patternType="solid">
        <fgColor rgb="FFFDEBD0"/>
        <bgColor rgb="FFFADBD8"/>
      </patternFill>
    </fill>
    <fill>
      <patternFill patternType="solid">
        <fgColor rgb="FF922B21"/>
        <bgColor rgb="FFC0392B"/>
      </patternFill>
    </fill>
    <fill>
      <patternFill patternType="solid">
        <fgColor rgb="FFFADBD8"/>
        <bgColor rgb="FFE8DAEF"/>
      </patternFill>
    </fill>
    <fill>
      <patternFill patternType="solid">
        <fgColor rgb="FF117864"/>
        <bgColor rgb="FF008080"/>
      </patternFill>
    </fill>
    <fill>
      <patternFill patternType="solid">
        <fgColor rgb="FFD1F2EB"/>
        <bgColor rgb="FFD5F5E3"/>
      </patternFill>
    </fill>
    <fill>
      <patternFill patternType="solid">
        <fgColor rgb="FFFEF9E7"/>
        <bgColor rgb="FFF2F3F4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3" fillId="3" borderId="0" xfId="0" applyFont="1" applyFill="1" applyAlignment="1">
      <alignment horizontal="left" vertical="center" wrapText="1"/>
    </xf>
    <xf numFmtId="0" fontId="3" fillId="7" borderId="0" xfId="0" applyFont="1" applyFill="1" applyAlignment="1">
      <alignment horizontal="center" vertical="center" wrapText="1"/>
    </xf>
    <xf numFmtId="0" fontId="3" fillId="9" borderId="0" xfId="0" applyFont="1" applyFill="1" applyAlignment="1">
      <alignment horizontal="center" vertical="center" wrapText="1"/>
    </xf>
    <xf numFmtId="0" fontId="3" fillId="10" borderId="0" xfId="0" applyFont="1" applyFill="1" applyAlignment="1">
      <alignment horizontal="center" vertical="center" wrapText="1"/>
    </xf>
    <xf numFmtId="0" fontId="3" fillId="11" borderId="0" xfId="0" applyFont="1" applyFill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3" fillId="20" borderId="1" xfId="0" applyFont="1" applyFill="1" applyBorder="1" applyAlignment="1">
      <alignment horizontal="center" vertical="center" wrapText="1"/>
    </xf>
    <xf numFmtId="0" fontId="11" fillId="8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9" fontId="0" fillId="6" borderId="1" xfId="0" applyNumberForma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9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9" fontId="5" fillId="2" borderId="1" xfId="0" applyNumberFormat="1" applyFont="1" applyFill="1" applyBorder="1" applyAlignment="1">
      <alignment horizontal="center" vertical="center" wrapText="1"/>
    </xf>
    <xf numFmtId="0" fontId="6" fillId="19" borderId="1" xfId="0" applyFont="1" applyFill="1" applyBorder="1" applyAlignment="1">
      <alignment horizontal="left" vertical="center" wrapText="1"/>
    </xf>
    <xf numFmtId="0" fontId="6" fillId="22" borderId="1" xfId="0" applyFont="1" applyFill="1" applyBorder="1" applyAlignment="1">
      <alignment horizontal="left" vertical="center" wrapText="1"/>
    </xf>
    <xf numFmtId="0" fontId="6" fillId="15" borderId="1" xfId="0" applyFont="1" applyFill="1" applyBorder="1" applyAlignment="1">
      <alignment horizontal="left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6" fillId="8" borderId="0" xfId="0" applyFont="1" applyFill="1" applyBorder="1" applyAlignment="1">
      <alignment horizontal="left" vertical="center" wrapText="1"/>
    </xf>
    <xf numFmtId="0" fontId="6" fillId="4" borderId="0" xfId="0" applyFont="1" applyFill="1" applyBorder="1" applyAlignment="1">
      <alignment horizontal="left" vertical="center" wrapText="1"/>
    </xf>
    <xf numFmtId="0" fontId="6" fillId="6" borderId="0" xfId="0" applyFont="1" applyFill="1" applyBorder="1" applyAlignment="1">
      <alignment horizontal="left" vertical="center" wrapText="1"/>
    </xf>
    <xf numFmtId="0" fontId="4" fillId="4" borderId="0" xfId="0" applyFont="1" applyFill="1" applyBorder="1" applyAlignment="1">
      <alignment horizontal="left" vertical="center" wrapText="1"/>
    </xf>
    <xf numFmtId="0" fontId="5" fillId="5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14" fontId="4" fillId="4" borderId="0" xfId="0" applyNumberFormat="1" applyFont="1" applyFill="1" applyBorder="1" applyAlignment="1">
      <alignment horizontal="left" vertical="center" wrapText="1"/>
    </xf>
    <xf numFmtId="0" fontId="3" fillId="3" borderId="0" xfId="0" applyFont="1" applyFill="1" applyBorder="1" applyAlignment="1">
      <alignment horizontal="left" vertical="center" wrapText="1"/>
    </xf>
    <xf numFmtId="0" fontId="7" fillId="12" borderId="0" xfId="0" applyFont="1" applyFill="1" applyBorder="1" applyAlignment="1">
      <alignment horizontal="center" vertical="center" wrapText="1"/>
    </xf>
    <xf numFmtId="0" fontId="8" fillId="13" borderId="0" xfId="0" applyFont="1" applyFill="1" applyBorder="1" applyAlignment="1">
      <alignment horizontal="left" vertical="center" wrapText="1"/>
    </xf>
    <xf numFmtId="0" fontId="7" fillId="14" borderId="0" xfId="0" applyFont="1" applyFill="1" applyBorder="1" applyAlignment="1">
      <alignment horizontal="center" vertical="center" wrapText="1"/>
    </xf>
    <xf numFmtId="0" fontId="8" fillId="4" borderId="0" xfId="0" applyFont="1" applyFill="1" applyBorder="1" applyAlignment="1">
      <alignment horizontal="left" vertical="center" wrapText="1"/>
    </xf>
    <xf numFmtId="0" fontId="7" fillId="7" borderId="0" xfId="0" applyFont="1" applyFill="1" applyBorder="1" applyAlignment="1">
      <alignment horizontal="center" vertical="center" wrapText="1"/>
    </xf>
    <xf numFmtId="0" fontId="8" fillId="15" borderId="0" xfId="0" applyFont="1" applyFill="1" applyBorder="1" applyAlignment="1">
      <alignment horizontal="left" vertical="center" wrapText="1"/>
    </xf>
    <xf numFmtId="0" fontId="7" fillId="16" borderId="0" xfId="0" applyFont="1" applyFill="1" applyBorder="1" applyAlignment="1">
      <alignment horizontal="center" vertical="center" wrapText="1"/>
    </xf>
    <xf numFmtId="0" fontId="8" fillId="17" borderId="0" xfId="0" applyFont="1" applyFill="1" applyBorder="1" applyAlignment="1">
      <alignment horizontal="left" vertical="center" wrapText="1"/>
    </xf>
    <xf numFmtId="0" fontId="7" fillId="18" borderId="0" xfId="0" applyFont="1" applyFill="1" applyBorder="1" applyAlignment="1">
      <alignment horizontal="center" vertical="center" wrapText="1"/>
    </xf>
    <xf numFmtId="0" fontId="8" fillId="19" borderId="0" xfId="0" applyFont="1" applyFill="1" applyBorder="1" applyAlignment="1">
      <alignment horizontal="left" vertical="center" wrapText="1"/>
    </xf>
    <xf numFmtId="0" fontId="7" fillId="20" borderId="0" xfId="0" applyFont="1" applyFill="1" applyBorder="1" applyAlignment="1">
      <alignment horizontal="center" vertical="center" wrapText="1"/>
    </xf>
    <xf numFmtId="0" fontId="8" fillId="21" borderId="0" xfId="0" applyFont="1" applyFill="1" applyBorder="1" applyAlignment="1">
      <alignment horizontal="left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10" fillId="3" borderId="0" xfId="0" applyFont="1" applyFill="1" applyBorder="1" applyAlignment="1">
      <alignment horizontal="center" vertical="center" wrapText="1"/>
    </xf>
    <xf numFmtId="0" fontId="6" fillId="22" borderId="0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D6608"/>
      <rgbColor rgb="FF800080"/>
      <rgbColor rgb="FF117864"/>
      <rgbColor rgb="FFBDC3C7"/>
      <rgbColor rgb="FF808080"/>
      <rgbColor rgb="FF9999FF"/>
      <rgbColor rgb="FF6C3483"/>
      <rgbColor rgb="FFFEF9E7"/>
      <rgbColor rgb="FFD1F2EB"/>
      <rgbColor rgb="FF660066"/>
      <rgbColor rgb="FFFF8080"/>
      <rgbColor rgb="FF0066CC"/>
      <rgbColor rgb="FFE8DA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AF8"/>
      <rgbColor rgb="FFD5F5E3"/>
      <rgbColor rgb="FFFDEBD0"/>
      <rgbColor rgb="FFF2F3F4"/>
      <rgbColor rgb="FFFF99CC"/>
      <rgbColor rgb="FFCC99FF"/>
      <rgbColor rgb="FFFADBD8"/>
      <rgbColor rgb="FF2E86C1"/>
      <rgbColor rgb="FF33CCCC"/>
      <rgbColor rgb="FF99CC00"/>
      <rgbColor rgb="FFFFCC00"/>
      <rgbColor rgb="FFF39C12"/>
      <rgbColor rgb="FFFF6600"/>
      <rgbColor rgb="FF666699"/>
      <rgbColor rgb="FF969696"/>
      <rgbColor rgb="FF1B4F72"/>
      <rgbColor rgb="FF1E8449"/>
      <rgbColor rgb="FF0D1B2A"/>
      <rgbColor rgb="FF333300"/>
      <rgbColor rgb="FF922B21"/>
      <rgbColor rgb="FFC0392B"/>
      <rgbColor rgb="FF1A5276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59"/>
  <sheetViews>
    <sheetView showGridLines="0" topLeftCell="A11" zoomScaleNormal="100" workbookViewId="0">
      <selection activeCell="C11" sqref="C11:D11"/>
    </sheetView>
  </sheetViews>
  <sheetFormatPr defaultColWidth="8.68359375" defaultRowHeight="14.4" x14ac:dyDescent="0.55000000000000004"/>
  <cols>
    <col min="1" max="1" width="3" customWidth="1"/>
    <col min="2" max="2" width="30" customWidth="1"/>
    <col min="3" max="3" width="50" customWidth="1"/>
    <col min="4" max="4" width="20" customWidth="1"/>
  </cols>
  <sheetData>
    <row r="1" spans="2:4" ht="18" customHeight="1" x14ac:dyDescent="0.55000000000000004"/>
    <row r="2" spans="2:4" ht="30" customHeight="1" x14ac:dyDescent="0.55000000000000004">
      <c r="B2" s="34" t="s">
        <v>0</v>
      </c>
      <c r="C2" s="34"/>
      <c r="D2" s="34"/>
    </row>
    <row r="3" spans="2:4" ht="30" customHeight="1" x14ac:dyDescent="0.55000000000000004">
      <c r="B3" s="34"/>
      <c r="C3" s="34"/>
      <c r="D3" s="34"/>
    </row>
    <row r="4" spans="2:4" ht="30" customHeight="1" x14ac:dyDescent="0.55000000000000004">
      <c r="B4" s="34"/>
      <c r="C4" s="34"/>
      <c r="D4" s="34"/>
    </row>
    <row r="5" spans="2:4" ht="30" customHeight="1" x14ac:dyDescent="0.55000000000000004">
      <c r="B5" s="34"/>
      <c r="C5" s="34"/>
      <c r="D5" s="34"/>
    </row>
    <row r="6" spans="2:4" ht="18" customHeight="1" x14ac:dyDescent="0.55000000000000004">
      <c r="B6" s="35" t="s">
        <v>1</v>
      </c>
      <c r="C6" s="35"/>
      <c r="D6" s="35"/>
    </row>
    <row r="7" spans="2:4" ht="18" customHeight="1" x14ac:dyDescent="0.55000000000000004"/>
    <row r="8" spans="2:4" ht="21.75" customHeight="1" x14ac:dyDescent="0.55000000000000004">
      <c r="B8" s="1" t="s">
        <v>2</v>
      </c>
      <c r="C8" s="32" t="s">
        <v>3</v>
      </c>
      <c r="D8" s="32"/>
    </row>
    <row r="9" spans="2:4" ht="21.75" customHeight="1" x14ac:dyDescent="0.55000000000000004">
      <c r="B9" s="1" t="s">
        <v>4</v>
      </c>
      <c r="C9" s="32" t="s">
        <v>5</v>
      </c>
      <c r="D9" s="32"/>
    </row>
    <row r="10" spans="2:4" ht="21.75" customHeight="1" x14ac:dyDescent="0.55000000000000004">
      <c r="B10" s="1" t="s">
        <v>6</v>
      </c>
      <c r="C10" s="36">
        <v>46173</v>
      </c>
      <c r="D10" s="32"/>
    </row>
    <row r="11" spans="2:4" ht="21.75" customHeight="1" x14ac:dyDescent="0.55000000000000004">
      <c r="B11" s="1" t="s">
        <v>7</v>
      </c>
      <c r="C11" s="32" t="s">
        <v>382</v>
      </c>
      <c r="D11" s="32"/>
    </row>
    <row r="12" spans="2:4" ht="21.75" customHeight="1" x14ac:dyDescent="0.55000000000000004">
      <c r="B12" s="1" t="s">
        <v>8</v>
      </c>
      <c r="C12" s="32" t="s">
        <v>9</v>
      </c>
      <c r="D12" s="32"/>
    </row>
    <row r="13" spans="2:4" ht="21.75" customHeight="1" x14ac:dyDescent="0.55000000000000004">
      <c r="B13" s="1" t="s">
        <v>10</v>
      </c>
      <c r="C13" s="32" t="s">
        <v>11</v>
      </c>
      <c r="D13" s="32"/>
    </row>
    <row r="14" spans="2:4" ht="18" customHeight="1" x14ac:dyDescent="0.55000000000000004"/>
    <row r="15" spans="2:4" ht="18" customHeight="1" x14ac:dyDescent="0.55000000000000004"/>
    <row r="16" spans="2:4" ht="21.75" customHeight="1" x14ac:dyDescent="0.55000000000000004">
      <c r="B16" s="33" t="s">
        <v>12</v>
      </c>
      <c r="C16" s="33"/>
      <c r="D16" s="33"/>
    </row>
    <row r="17" spans="2:4" ht="19.5" customHeight="1" x14ac:dyDescent="0.55000000000000004">
      <c r="B17" s="31" t="s">
        <v>13</v>
      </c>
      <c r="C17" s="31"/>
      <c r="D17" s="31"/>
    </row>
    <row r="18" spans="2:4" ht="19.5" customHeight="1" x14ac:dyDescent="0.55000000000000004">
      <c r="B18" s="30" t="s">
        <v>14</v>
      </c>
      <c r="C18" s="30"/>
      <c r="D18" s="30"/>
    </row>
    <row r="19" spans="2:4" ht="19.5" customHeight="1" x14ac:dyDescent="0.55000000000000004">
      <c r="B19" s="31" t="s">
        <v>15</v>
      </c>
      <c r="C19" s="31"/>
      <c r="D19" s="31"/>
    </row>
    <row r="20" spans="2:4" ht="19.5" customHeight="1" x14ac:dyDescent="0.55000000000000004">
      <c r="B20" s="30" t="s">
        <v>16</v>
      </c>
      <c r="C20" s="30"/>
      <c r="D20" s="30"/>
    </row>
    <row r="21" spans="2:4" ht="19.5" customHeight="1" x14ac:dyDescent="0.55000000000000004">
      <c r="B21" s="31" t="s">
        <v>17</v>
      </c>
      <c r="C21" s="31"/>
      <c r="D21" s="31"/>
    </row>
    <row r="22" spans="2:4" ht="19.5" customHeight="1" x14ac:dyDescent="0.55000000000000004">
      <c r="B22" s="30" t="s">
        <v>18</v>
      </c>
      <c r="C22" s="30"/>
      <c r="D22" s="30"/>
    </row>
    <row r="23" spans="2:4" ht="18" customHeight="1" x14ac:dyDescent="0.55000000000000004"/>
    <row r="24" spans="2:4" ht="21.75" customHeight="1" x14ac:dyDescent="0.55000000000000004">
      <c r="B24" s="28" t="s">
        <v>19</v>
      </c>
      <c r="C24" s="28"/>
      <c r="D24" s="28"/>
    </row>
    <row r="25" spans="2:4" ht="19.5" customHeight="1" x14ac:dyDescent="0.55000000000000004">
      <c r="B25" s="2" t="s">
        <v>20</v>
      </c>
      <c r="C25" s="29" t="s">
        <v>21</v>
      </c>
      <c r="D25" s="29"/>
    </row>
    <row r="26" spans="2:4" ht="19.5" customHeight="1" x14ac:dyDescent="0.55000000000000004">
      <c r="B26" s="3" t="s">
        <v>22</v>
      </c>
      <c r="C26" s="29" t="s">
        <v>23</v>
      </c>
      <c r="D26" s="29"/>
    </row>
    <row r="27" spans="2:4" ht="19.5" customHeight="1" x14ac:dyDescent="0.55000000000000004">
      <c r="B27" s="4" t="s">
        <v>24</v>
      </c>
      <c r="C27" s="29" t="s">
        <v>25</v>
      </c>
      <c r="D27" s="29"/>
    </row>
    <row r="28" spans="2:4" ht="19.5" customHeight="1" x14ac:dyDescent="0.55000000000000004">
      <c r="B28" s="5" t="s">
        <v>26</v>
      </c>
      <c r="C28" s="29" t="s">
        <v>27</v>
      </c>
      <c r="D28" s="29"/>
    </row>
    <row r="29" spans="2:4" ht="18" customHeight="1" x14ac:dyDescent="0.55000000000000004"/>
    <row r="30" spans="2:4" ht="18" customHeight="1" x14ac:dyDescent="0.55000000000000004"/>
    <row r="31" spans="2:4" ht="18" customHeight="1" x14ac:dyDescent="0.55000000000000004"/>
    <row r="32" spans="2:4" ht="18" customHeight="1" x14ac:dyDescent="0.55000000000000004"/>
    <row r="33" ht="18" customHeight="1" x14ac:dyDescent="0.55000000000000004"/>
    <row r="34" ht="18" customHeight="1" x14ac:dyDescent="0.55000000000000004"/>
    <row r="35" ht="18" customHeight="1" x14ac:dyDescent="0.55000000000000004"/>
    <row r="36" ht="18" customHeight="1" x14ac:dyDescent="0.55000000000000004"/>
    <row r="37" ht="18" customHeight="1" x14ac:dyDescent="0.55000000000000004"/>
    <row r="38" ht="18" customHeight="1" x14ac:dyDescent="0.55000000000000004"/>
    <row r="39" ht="18" customHeight="1" x14ac:dyDescent="0.55000000000000004"/>
    <row r="40" ht="18" customHeight="1" x14ac:dyDescent="0.55000000000000004"/>
    <row r="41" ht="18" customHeight="1" x14ac:dyDescent="0.55000000000000004"/>
    <row r="42" ht="18" customHeight="1" x14ac:dyDescent="0.55000000000000004"/>
    <row r="43" ht="18" customHeight="1" x14ac:dyDescent="0.55000000000000004"/>
    <row r="44" ht="18" customHeight="1" x14ac:dyDescent="0.55000000000000004"/>
    <row r="45" ht="18" customHeight="1" x14ac:dyDescent="0.55000000000000004"/>
    <row r="46" ht="18" customHeight="1" x14ac:dyDescent="0.55000000000000004"/>
    <row r="47" ht="18" customHeight="1" x14ac:dyDescent="0.55000000000000004"/>
    <row r="48" ht="18" customHeight="1" x14ac:dyDescent="0.55000000000000004"/>
    <row r="49" ht="18" customHeight="1" x14ac:dyDescent="0.55000000000000004"/>
    <row r="50" ht="18" customHeight="1" x14ac:dyDescent="0.55000000000000004"/>
    <row r="51" ht="18" customHeight="1" x14ac:dyDescent="0.55000000000000004"/>
    <row r="52" ht="18" customHeight="1" x14ac:dyDescent="0.55000000000000004"/>
    <row r="53" ht="18" customHeight="1" x14ac:dyDescent="0.55000000000000004"/>
    <row r="54" ht="18" customHeight="1" x14ac:dyDescent="0.55000000000000004"/>
    <row r="55" ht="18" customHeight="1" x14ac:dyDescent="0.55000000000000004"/>
    <row r="56" ht="18" customHeight="1" x14ac:dyDescent="0.55000000000000004"/>
    <row r="57" ht="18" customHeight="1" x14ac:dyDescent="0.55000000000000004"/>
    <row r="58" ht="18" customHeight="1" x14ac:dyDescent="0.55000000000000004"/>
    <row r="59" ht="18" customHeight="1" x14ac:dyDescent="0.55000000000000004"/>
  </sheetData>
  <mergeCells count="20">
    <mergeCell ref="B2:D5"/>
    <mergeCell ref="B6:D6"/>
    <mergeCell ref="C8:D8"/>
    <mergeCell ref="C9:D9"/>
    <mergeCell ref="C10:D10"/>
    <mergeCell ref="C11:D11"/>
    <mergeCell ref="C12:D12"/>
    <mergeCell ref="C13:D13"/>
    <mergeCell ref="B16:D16"/>
    <mergeCell ref="B17:D17"/>
    <mergeCell ref="B18:D18"/>
    <mergeCell ref="B19:D19"/>
    <mergeCell ref="B20:D20"/>
    <mergeCell ref="B21:D21"/>
    <mergeCell ref="B22:D22"/>
    <mergeCell ref="B24:D24"/>
    <mergeCell ref="C25:D25"/>
    <mergeCell ref="C26:D26"/>
    <mergeCell ref="C27:D27"/>
    <mergeCell ref="C28:D2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33"/>
  <sheetViews>
    <sheetView showGridLines="0" zoomScale="79" zoomScaleNormal="79" workbookViewId="0">
      <pane xSplit="1" ySplit="3" topLeftCell="B22" activePane="bottomRight" state="frozen"/>
      <selection pane="topRight" activeCell="B1" sqref="B1"/>
      <selection pane="bottomLeft" activeCell="A4" sqref="A4"/>
      <selection pane="bottomRight" activeCell="F3" sqref="F3"/>
    </sheetView>
  </sheetViews>
  <sheetFormatPr defaultColWidth="8.68359375" defaultRowHeight="14.4" x14ac:dyDescent="0.55000000000000004"/>
  <cols>
    <col min="1" max="1" width="3" customWidth="1"/>
    <col min="2" max="2" width="12" customWidth="1"/>
    <col min="3" max="3" width="28" customWidth="1"/>
    <col min="4" max="4" width="52" customWidth="1"/>
    <col min="5" max="5" width="14" customWidth="1"/>
    <col min="6" max="6" width="35" customWidth="1"/>
    <col min="7" max="7" width="16" customWidth="1"/>
  </cols>
  <sheetData>
    <row r="1" spans="2:7" ht="34.5" customHeight="1" x14ac:dyDescent="0.55000000000000004">
      <c r="B1" s="38" t="s">
        <v>28</v>
      </c>
      <c r="C1" s="38"/>
      <c r="D1" s="38"/>
      <c r="E1" s="38"/>
      <c r="F1" s="38"/>
      <c r="G1" s="38"/>
    </row>
    <row r="2" spans="2:7" ht="21.75" customHeight="1" x14ac:dyDescent="0.55000000000000004">
      <c r="B2" s="39" t="s">
        <v>29</v>
      </c>
      <c r="C2" s="39"/>
      <c r="D2" s="39"/>
      <c r="E2" s="39"/>
      <c r="F2" s="39"/>
      <c r="G2" s="39"/>
    </row>
    <row r="3" spans="2:7" ht="21.75" customHeight="1" x14ac:dyDescent="0.55000000000000004">
      <c r="B3" s="6" t="s">
        <v>30</v>
      </c>
      <c r="C3" s="6" t="s">
        <v>31</v>
      </c>
      <c r="D3" s="6" t="s">
        <v>32</v>
      </c>
      <c r="E3" s="6" t="s">
        <v>33</v>
      </c>
      <c r="F3" s="6" t="s">
        <v>34</v>
      </c>
      <c r="G3" s="6" t="s">
        <v>35</v>
      </c>
    </row>
    <row r="4" spans="2:7" ht="21.75" customHeight="1" x14ac:dyDescent="0.55000000000000004">
      <c r="B4" s="37" t="s">
        <v>36</v>
      </c>
      <c r="C4" s="37"/>
      <c r="D4" s="37"/>
      <c r="E4" s="37"/>
      <c r="F4" s="37"/>
      <c r="G4" s="37"/>
    </row>
    <row r="5" spans="2:7" ht="31.5" customHeight="1" x14ac:dyDescent="0.55000000000000004">
      <c r="B5" s="7" t="s">
        <v>37</v>
      </c>
      <c r="C5" s="7" t="s">
        <v>38</v>
      </c>
      <c r="D5" s="7" t="s">
        <v>39</v>
      </c>
      <c r="E5" s="7" t="s">
        <v>20</v>
      </c>
      <c r="F5" s="7"/>
      <c r="G5" s="7"/>
    </row>
    <row r="6" spans="2:7" ht="31.5" customHeight="1" x14ac:dyDescent="0.55000000000000004">
      <c r="B6" s="8" t="s">
        <v>40</v>
      </c>
      <c r="C6" s="8" t="s">
        <v>38</v>
      </c>
      <c r="D6" s="8" t="s">
        <v>41</v>
      </c>
      <c r="E6" s="8" t="s">
        <v>20</v>
      </c>
      <c r="F6" s="8"/>
      <c r="G6" s="8"/>
    </row>
    <row r="7" spans="2:7" ht="31.5" customHeight="1" x14ac:dyDescent="0.55000000000000004">
      <c r="B7" s="7" t="s">
        <v>42</v>
      </c>
      <c r="C7" s="7" t="s">
        <v>38</v>
      </c>
      <c r="D7" s="7" t="s">
        <v>43</v>
      </c>
      <c r="E7" s="7" t="s">
        <v>20</v>
      </c>
      <c r="F7" s="7"/>
      <c r="G7" s="7"/>
    </row>
    <row r="8" spans="2:7" ht="31.5" customHeight="1" x14ac:dyDescent="0.55000000000000004">
      <c r="B8" s="8" t="s">
        <v>44</v>
      </c>
      <c r="C8" s="8" t="s">
        <v>38</v>
      </c>
      <c r="D8" s="8" t="s">
        <v>45</v>
      </c>
      <c r="E8" s="8" t="s">
        <v>24</v>
      </c>
      <c r="F8" s="8"/>
      <c r="G8" s="8"/>
    </row>
    <row r="9" spans="2:7" ht="31.5" customHeight="1" x14ac:dyDescent="0.55000000000000004">
      <c r="B9" s="7" t="s">
        <v>46</v>
      </c>
      <c r="C9" s="7" t="s">
        <v>38</v>
      </c>
      <c r="D9" s="7" t="s">
        <v>47</v>
      </c>
      <c r="E9" s="7" t="s">
        <v>24</v>
      </c>
      <c r="F9" s="7"/>
      <c r="G9" s="7"/>
    </row>
    <row r="10" spans="2:7" ht="21.75" customHeight="1" x14ac:dyDescent="0.55000000000000004">
      <c r="B10" s="37" t="s">
        <v>48</v>
      </c>
      <c r="C10" s="37"/>
      <c r="D10" s="37"/>
      <c r="E10" s="37"/>
      <c r="F10" s="37"/>
      <c r="G10" s="37"/>
    </row>
    <row r="11" spans="2:7" ht="31.5" customHeight="1" x14ac:dyDescent="0.55000000000000004">
      <c r="B11" s="7" t="s">
        <v>49</v>
      </c>
      <c r="C11" s="7" t="s">
        <v>50</v>
      </c>
      <c r="D11" s="7" t="s">
        <v>51</v>
      </c>
      <c r="E11" s="7" t="s">
        <v>20</v>
      </c>
      <c r="F11" s="7"/>
      <c r="G11" s="7"/>
    </row>
    <row r="12" spans="2:7" ht="31.5" customHeight="1" x14ac:dyDescent="0.55000000000000004">
      <c r="B12" s="8" t="s">
        <v>52</v>
      </c>
      <c r="C12" s="8" t="s">
        <v>50</v>
      </c>
      <c r="D12" s="8" t="s">
        <v>53</v>
      </c>
      <c r="E12" s="8" t="s">
        <v>24</v>
      </c>
      <c r="F12" s="8"/>
      <c r="G12" s="8"/>
    </row>
    <row r="13" spans="2:7" ht="31.5" customHeight="1" x14ac:dyDescent="0.55000000000000004">
      <c r="B13" s="7" t="s">
        <v>54</v>
      </c>
      <c r="C13" s="7" t="s">
        <v>50</v>
      </c>
      <c r="D13" s="7" t="s">
        <v>55</v>
      </c>
      <c r="E13" s="7" t="s">
        <v>20</v>
      </c>
      <c r="F13" s="7"/>
      <c r="G13" s="7"/>
    </row>
    <row r="14" spans="2:7" ht="31.5" customHeight="1" x14ac:dyDescent="0.55000000000000004">
      <c r="B14" s="8" t="s">
        <v>56</v>
      </c>
      <c r="C14" s="8" t="s">
        <v>50</v>
      </c>
      <c r="D14" s="8" t="s">
        <v>57</v>
      </c>
      <c r="E14" s="8" t="s">
        <v>20</v>
      </c>
      <c r="F14" s="8"/>
      <c r="G14" s="8"/>
    </row>
    <row r="15" spans="2:7" ht="21.75" customHeight="1" x14ac:dyDescent="0.55000000000000004">
      <c r="B15" s="37" t="s">
        <v>58</v>
      </c>
      <c r="C15" s="37"/>
      <c r="D15" s="37"/>
      <c r="E15" s="37"/>
      <c r="F15" s="37"/>
      <c r="G15" s="37"/>
    </row>
    <row r="16" spans="2:7" ht="31.5" customHeight="1" x14ac:dyDescent="0.55000000000000004">
      <c r="B16" s="8" t="s">
        <v>59</v>
      </c>
      <c r="C16" s="8" t="s">
        <v>60</v>
      </c>
      <c r="D16" s="8" t="s">
        <v>61</v>
      </c>
      <c r="E16" s="8" t="s">
        <v>20</v>
      </c>
      <c r="F16" s="8"/>
      <c r="G16" s="8"/>
    </row>
    <row r="17" spans="2:7" ht="31.5" customHeight="1" x14ac:dyDescent="0.55000000000000004">
      <c r="B17" s="7" t="s">
        <v>62</v>
      </c>
      <c r="C17" s="7" t="s">
        <v>60</v>
      </c>
      <c r="D17" s="7" t="s">
        <v>63</v>
      </c>
      <c r="E17" s="7" t="s">
        <v>20</v>
      </c>
      <c r="F17" s="7"/>
      <c r="G17" s="7"/>
    </row>
    <row r="18" spans="2:7" ht="31.5" customHeight="1" x14ac:dyDescent="0.55000000000000004">
      <c r="B18" s="8" t="s">
        <v>64</v>
      </c>
      <c r="C18" s="8" t="s">
        <v>60</v>
      </c>
      <c r="D18" s="8" t="s">
        <v>65</v>
      </c>
      <c r="E18" s="8" t="s">
        <v>20</v>
      </c>
      <c r="F18" s="8"/>
      <c r="G18" s="8"/>
    </row>
    <row r="19" spans="2:7" ht="31.5" customHeight="1" x14ac:dyDescent="0.55000000000000004">
      <c r="B19" s="7" t="s">
        <v>66</v>
      </c>
      <c r="C19" s="7" t="s">
        <v>60</v>
      </c>
      <c r="D19" s="7" t="s">
        <v>67</v>
      </c>
      <c r="E19" s="7" t="s">
        <v>20</v>
      </c>
      <c r="F19" s="7"/>
      <c r="G19" s="7"/>
    </row>
    <row r="20" spans="2:7" ht="21.75" customHeight="1" x14ac:dyDescent="0.55000000000000004">
      <c r="B20" s="37" t="s">
        <v>68</v>
      </c>
      <c r="C20" s="37"/>
      <c r="D20" s="37"/>
      <c r="E20" s="37"/>
      <c r="F20" s="37"/>
      <c r="G20" s="37"/>
    </row>
    <row r="21" spans="2:7" ht="31.5" customHeight="1" x14ac:dyDescent="0.55000000000000004">
      <c r="B21" s="7" t="s">
        <v>69</v>
      </c>
      <c r="C21" s="7" t="s">
        <v>70</v>
      </c>
      <c r="D21" s="7" t="s">
        <v>71</v>
      </c>
      <c r="E21" s="7" t="s">
        <v>20</v>
      </c>
      <c r="F21" s="7"/>
      <c r="G21" s="7"/>
    </row>
    <row r="22" spans="2:7" ht="31.5" customHeight="1" x14ac:dyDescent="0.55000000000000004">
      <c r="B22" s="8" t="s">
        <v>72</v>
      </c>
      <c r="C22" s="8" t="s">
        <v>70</v>
      </c>
      <c r="D22" s="8" t="s">
        <v>73</v>
      </c>
      <c r="E22" s="8" t="s">
        <v>20</v>
      </c>
      <c r="F22" s="8"/>
      <c r="G22" s="8"/>
    </row>
    <row r="23" spans="2:7" ht="31.5" customHeight="1" x14ac:dyDescent="0.55000000000000004">
      <c r="B23" s="7" t="s">
        <v>74</v>
      </c>
      <c r="C23" s="7" t="s">
        <v>70</v>
      </c>
      <c r="D23" s="7" t="s">
        <v>75</v>
      </c>
      <c r="E23" s="7" t="s">
        <v>20</v>
      </c>
      <c r="F23" s="7"/>
      <c r="G23" s="7"/>
    </row>
    <row r="24" spans="2:7" ht="31.5" customHeight="1" x14ac:dyDescent="0.55000000000000004">
      <c r="B24" s="8" t="s">
        <v>76</v>
      </c>
      <c r="C24" s="8" t="s">
        <v>70</v>
      </c>
      <c r="D24" s="8" t="s">
        <v>77</v>
      </c>
      <c r="E24" s="8" t="s">
        <v>22</v>
      </c>
      <c r="F24" s="8"/>
      <c r="G24" s="8"/>
    </row>
    <row r="25" spans="2:7" ht="21.75" customHeight="1" x14ac:dyDescent="0.55000000000000004">
      <c r="B25" s="37" t="s">
        <v>78</v>
      </c>
      <c r="C25" s="37"/>
      <c r="D25" s="37"/>
      <c r="E25" s="37"/>
      <c r="F25" s="37"/>
      <c r="G25" s="37"/>
    </row>
    <row r="26" spans="2:7" ht="31.5" customHeight="1" x14ac:dyDescent="0.55000000000000004">
      <c r="B26" s="8" t="s">
        <v>79</v>
      </c>
      <c r="C26" s="8" t="s">
        <v>80</v>
      </c>
      <c r="D26" s="8" t="s">
        <v>81</v>
      </c>
      <c r="E26" s="8" t="s">
        <v>22</v>
      </c>
      <c r="F26" s="8"/>
      <c r="G26" s="8"/>
    </row>
    <row r="27" spans="2:7" ht="31.5" customHeight="1" x14ac:dyDescent="0.55000000000000004">
      <c r="B27" s="7" t="s">
        <v>82</v>
      </c>
      <c r="C27" s="7" t="s">
        <v>80</v>
      </c>
      <c r="D27" s="7" t="s">
        <v>83</v>
      </c>
      <c r="E27" s="7" t="s">
        <v>20</v>
      </c>
      <c r="F27" s="7"/>
      <c r="G27" s="7"/>
    </row>
    <row r="28" spans="2:7" ht="31.5" customHeight="1" x14ac:dyDescent="0.55000000000000004">
      <c r="B28" s="8" t="s">
        <v>84</v>
      </c>
      <c r="C28" s="8" t="s">
        <v>80</v>
      </c>
      <c r="D28" s="8" t="s">
        <v>85</v>
      </c>
      <c r="E28" s="8" t="s">
        <v>24</v>
      </c>
      <c r="F28" s="8"/>
      <c r="G28" s="8"/>
    </row>
    <row r="29" spans="2:7" ht="21.75" customHeight="1" x14ac:dyDescent="0.55000000000000004">
      <c r="B29" s="37" t="s">
        <v>86</v>
      </c>
      <c r="C29" s="37"/>
      <c r="D29" s="37"/>
      <c r="E29" s="37"/>
      <c r="F29" s="37"/>
      <c r="G29" s="37"/>
    </row>
    <row r="30" spans="2:7" ht="31.5" customHeight="1" x14ac:dyDescent="0.55000000000000004">
      <c r="B30" s="8" t="s">
        <v>87</v>
      </c>
      <c r="C30" s="8" t="s">
        <v>88</v>
      </c>
      <c r="D30" s="8" t="s">
        <v>89</v>
      </c>
      <c r="E30" s="8" t="s">
        <v>20</v>
      </c>
      <c r="F30" s="8"/>
      <c r="G30" s="8"/>
    </row>
    <row r="31" spans="2:7" ht="31.5" customHeight="1" x14ac:dyDescent="0.55000000000000004">
      <c r="B31" s="7" t="s">
        <v>90</v>
      </c>
      <c r="C31" s="7" t="s">
        <v>88</v>
      </c>
      <c r="D31" s="7" t="s">
        <v>91</v>
      </c>
      <c r="E31" s="7" t="s">
        <v>24</v>
      </c>
      <c r="F31" s="7"/>
      <c r="G31" s="7"/>
    </row>
    <row r="32" spans="2:7" ht="31.5" customHeight="1" x14ac:dyDescent="0.55000000000000004">
      <c r="B32" s="8" t="s">
        <v>92</v>
      </c>
      <c r="C32" s="8" t="s">
        <v>88</v>
      </c>
      <c r="D32" s="8" t="s">
        <v>93</v>
      </c>
      <c r="E32" s="8" t="s">
        <v>20</v>
      </c>
      <c r="F32" s="8"/>
      <c r="G32" s="8"/>
    </row>
    <row r="33" spans="2:7" ht="31.5" customHeight="1" x14ac:dyDescent="0.55000000000000004">
      <c r="B33" s="7" t="s">
        <v>94</v>
      </c>
      <c r="C33" s="7" t="s">
        <v>88</v>
      </c>
      <c r="D33" s="7" t="s">
        <v>95</v>
      </c>
      <c r="E33" s="7" t="s">
        <v>24</v>
      </c>
      <c r="F33" s="7"/>
      <c r="G33" s="7"/>
    </row>
  </sheetData>
  <mergeCells count="8">
    <mergeCell ref="B20:G20"/>
    <mergeCell ref="B25:G25"/>
    <mergeCell ref="B29:G29"/>
    <mergeCell ref="B1:G1"/>
    <mergeCell ref="B2:G2"/>
    <mergeCell ref="B4:G4"/>
    <mergeCell ref="B10:G10"/>
    <mergeCell ref="B15:G15"/>
  </mergeCells>
  <dataValidations count="1">
    <dataValidation type="list" allowBlank="1" sqref="E5:E9 E11:E14 E16:E19 E21:E24 E26:E28 E30:E33" xr:uid="{00000000-0002-0000-0100-000000000000}">
      <formula1>"YES,PARTIAL,NO,N/A"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22"/>
  <sheetViews>
    <sheetView showGridLines="0" zoomScale="80" zoomScaleNormal="80" workbookViewId="0">
      <pane xSplit="1" ySplit="3" topLeftCell="B12" activePane="bottomRight" state="frozen"/>
      <selection pane="topRight" activeCell="B1" sqref="B1"/>
      <selection pane="bottomLeft" activeCell="A4" sqref="A4"/>
      <selection pane="bottomRight" activeCell="E22" sqref="E22"/>
    </sheetView>
  </sheetViews>
  <sheetFormatPr defaultColWidth="8.68359375" defaultRowHeight="14.4" x14ac:dyDescent="0.55000000000000004"/>
  <cols>
    <col min="1" max="1" width="3" customWidth="1"/>
    <col min="2" max="2" width="12" customWidth="1"/>
    <col min="3" max="3" width="28" customWidth="1"/>
    <col min="4" max="4" width="52" customWidth="1"/>
    <col min="5" max="5" width="14" customWidth="1"/>
    <col min="6" max="6" width="35" customWidth="1"/>
    <col min="7" max="7" width="16" customWidth="1"/>
  </cols>
  <sheetData>
    <row r="1" spans="2:7" ht="34.5" customHeight="1" x14ac:dyDescent="0.55000000000000004">
      <c r="B1" s="40" t="s">
        <v>96</v>
      </c>
      <c r="C1" s="40"/>
      <c r="D1" s="40"/>
      <c r="E1" s="40"/>
      <c r="F1" s="40"/>
      <c r="G1" s="40"/>
    </row>
    <row r="2" spans="2:7" ht="21.75" customHeight="1" x14ac:dyDescent="0.55000000000000004">
      <c r="B2" s="41" t="s">
        <v>97</v>
      </c>
      <c r="C2" s="41"/>
      <c r="D2" s="41"/>
      <c r="E2" s="41"/>
      <c r="F2" s="41"/>
      <c r="G2" s="41"/>
    </row>
    <row r="3" spans="2:7" ht="21.75" customHeight="1" x14ac:dyDescent="0.55000000000000004">
      <c r="B3" s="9" t="s">
        <v>30</v>
      </c>
      <c r="C3" s="9" t="s">
        <v>31</v>
      </c>
      <c r="D3" s="9" t="s">
        <v>32</v>
      </c>
      <c r="E3" s="9" t="s">
        <v>33</v>
      </c>
      <c r="F3" s="9" t="s">
        <v>34</v>
      </c>
      <c r="G3" s="9" t="s">
        <v>35</v>
      </c>
    </row>
    <row r="4" spans="2:7" ht="21.75" customHeight="1" x14ac:dyDescent="0.55000000000000004">
      <c r="B4" s="37" t="s">
        <v>98</v>
      </c>
      <c r="C4" s="37"/>
      <c r="D4" s="37"/>
      <c r="E4" s="37"/>
      <c r="F4" s="37"/>
      <c r="G4" s="37"/>
    </row>
    <row r="5" spans="2:7" ht="31.5" customHeight="1" x14ac:dyDescent="0.55000000000000004">
      <c r="B5" s="7" t="s">
        <v>99</v>
      </c>
      <c r="C5" s="7" t="s">
        <v>100</v>
      </c>
      <c r="D5" s="7" t="s">
        <v>101</v>
      </c>
      <c r="E5" s="7" t="s">
        <v>20</v>
      </c>
      <c r="F5" s="7"/>
      <c r="G5" s="7"/>
    </row>
    <row r="6" spans="2:7" ht="31.5" customHeight="1" x14ac:dyDescent="0.55000000000000004">
      <c r="B6" s="8" t="s">
        <v>102</v>
      </c>
      <c r="C6" s="8" t="s">
        <v>100</v>
      </c>
      <c r="D6" s="8" t="s">
        <v>103</v>
      </c>
      <c r="E6" s="8" t="s">
        <v>20</v>
      </c>
      <c r="F6" s="8"/>
      <c r="G6" s="8"/>
    </row>
    <row r="7" spans="2:7" ht="31.5" customHeight="1" x14ac:dyDescent="0.55000000000000004">
      <c r="B7" s="7" t="s">
        <v>104</v>
      </c>
      <c r="C7" s="7" t="s">
        <v>100</v>
      </c>
      <c r="D7" s="7" t="s">
        <v>105</v>
      </c>
      <c r="E7" s="7" t="s">
        <v>20</v>
      </c>
      <c r="F7" s="7"/>
      <c r="G7" s="7"/>
    </row>
    <row r="8" spans="2:7" ht="31.5" customHeight="1" x14ac:dyDescent="0.55000000000000004">
      <c r="B8" s="8" t="s">
        <v>106</v>
      </c>
      <c r="C8" s="8" t="s">
        <v>100</v>
      </c>
      <c r="D8" s="8" t="s">
        <v>107</v>
      </c>
      <c r="E8" s="8" t="s">
        <v>22</v>
      </c>
      <c r="F8" s="8"/>
      <c r="G8" s="8"/>
    </row>
    <row r="9" spans="2:7" ht="31.5" customHeight="1" x14ac:dyDescent="0.55000000000000004">
      <c r="B9" s="7" t="s">
        <v>108</v>
      </c>
      <c r="C9" s="7" t="s">
        <v>100</v>
      </c>
      <c r="D9" s="7" t="s">
        <v>109</v>
      </c>
      <c r="E9" s="7" t="s">
        <v>20</v>
      </c>
      <c r="F9" s="7"/>
      <c r="G9" s="7"/>
    </row>
    <row r="10" spans="2:7" ht="31.5" customHeight="1" x14ac:dyDescent="0.55000000000000004">
      <c r="B10" s="8" t="s">
        <v>110</v>
      </c>
      <c r="C10" s="8" t="s">
        <v>100</v>
      </c>
      <c r="D10" s="8" t="s">
        <v>111</v>
      </c>
      <c r="E10" s="8" t="s">
        <v>20</v>
      </c>
      <c r="F10" s="8"/>
      <c r="G10" s="8"/>
    </row>
    <row r="11" spans="2:7" ht="21.75" customHeight="1" x14ac:dyDescent="0.55000000000000004">
      <c r="B11" s="37" t="s">
        <v>112</v>
      </c>
      <c r="C11" s="37"/>
      <c r="D11" s="37"/>
      <c r="E11" s="37"/>
      <c r="F11" s="37"/>
      <c r="G11" s="37"/>
    </row>
    <row r="12" spans="2:7" ht="31.5" customHeight="1" x14ac:dyDescent="0.55000000000000004">
      <c r="B12" s="8" t="s">
        <v>113</v>
      </c>
      <c r="C12" s="8" t="s">
        <v>114</v>
      </c>
      <c r="D12" s="8" t="s">
        <v>115</v>
      </c>
      <c r="E12" s="8" t="s">
        <v>24</v>
      </c>
      <c r="F12" s="8"/>
      <c r="G12" s="8"/>
    </row>
    <row r="13" spans="2:7" ht="31.5" customHeight="1" x14ac:dyDescent="0.55000000000000004">
      <c r="B13" s="7" t="s">
        <v>116</v>
      </c>
      <c r="C13" s="7" t="s">
        <v>114</v>
      </c>
      <c r="D13" s="7" t="s">
        <v>117</v>
      </c>
      <c r="E13" s="7" t="s">
        <v>22</v>
      </c>
      <c r="F13" s="7"/>
      <c r="G13" s="7"/>
    </row>
    <row r="14" spans="2:7" ht="31.5" customHeight="1" x14ac:dyDescent="0.55000000000000004">
      <c r="B14" s="8" t="s">
        <v>118</v>
      </c>
      <c r="C14" s="8" t="s">
        <v>114</v>
      </c>
      <c r="D14" s="8" t="s">
        <v>119</v>
      </c>
      <c r="E14" s="8" t="s">
        <v>20</v>
      </c>
      <c r="F14" s="8"/>
      <c r="G14" s="8"/>
    </row>
    <row r="15" spans="2:7" ht="31.5" customHeight="1" x14ac:dyDescent="0.55000000000000004">
      <c r="B15" s="7" t="s">
        <v>120</v>
      </c>
      <c r="C15" s="7" t="s">
        <v>114</v>
      </c>
      <c r="D15" s="7" t="s">
        <v>121</v>
      </c>
      <c r="E15" s="7" t="s">
        <v>20</v>
      </c>
      <c r="F15" s="7"/>
      <c r="G15" s="7"/>
    </row>
    <row r="16" spans="2:7" ht="31.5" customHeight="1" x14ac:dyDescent="0.55000000000000004">
      <c r="B16" s="8" t="s">
        <v>122</v>
      </c>
      <c r="C16" s="8" t="s">
        <v>114</v>
      </c>
      <c r="D16" s="8" t="s">
        <v>123</v>
      </c>
      <c r="E16" s="8" t="s">
        <v>20</v>
      </c>
      <c r="F16" s="8"/>
      <c r="G16" s="8"/>
    </row>
    <row r="17" spans="2:7" ht="31.5" customHeight="1" x14ac:dyDescent="0.55000000000000004">
      <c r="B17" s="7" t="s">
        <v>124</v>
      </c>
      <c r="C17" s="7" t="s">
        <v>114</v>
      </c>
      <c r="D17" s="7" t="s">
        <v>125</v>
      </c>
      <c r="E17" s="7" t="s">
        <v>20</v>
      </c>
      <c r="F17" s="7"/>
      <c r="G17" s="7"/>
    </row>
    <row r="18" spans="2:7" ht="31.5" customHeight="1" x14ac:dyDescent="0.55000000000000004">
      <c r="B18" s="8" t="s">
        <v>126</v>
      </c>
      <c r="C18" s="8" t="s">
        <v>114</v>
      </c>
      <c r="D18" s="8" t="s">
        <v>127</v>
      </c>
      <c r="E18" s="8" t="s">
        <v>24</v>
      </c>
      <c r="F18" s="8"/>
      <c r="G18" s="8"/>
    </row>
    <row r="19" spans="2:7" ht="21.75" customHeight="1" x14ac:dyDescent="0.55000000000000004">
      <c r="B19" s="37" t="s">
        <v>128</v>
      </c>
      <c r="C19" s="37"/>
      <c r="D19" s="37"/>
      <c r="E19" s="37"/>
      <c r="F19" s="37"/>
      <c r="G19" s="37"/>
    </row>
    <row r="20" spans="2:7" ht="31.5" customHeight="1" x14ac:dyDescent="0.55000000000000004">
      <c r="B20" s="8" t="s">
        <v>129</v>
      </c>
      <c r="C20" s="8" t="s">
        <v>130</v>
      </c>
      <c r="D20" s="8" t="s">
        <v>131</v>
      </c>
      <c r="E20" s="8" t="s">
        <v>20</v>
      </c>
      <c r="F20" s="8"/>
      <c r="G20" s="8"/>
    </row>
    <row r="21" spans="2:7" ht="31.5" customHeight="1" x14ac:dyDescent="0.55000000000000004">
      <c r="B21" s="7" t="s">
        <v>132</v>
      </c>
      <c r="C21" s="7" t="s">
        <v>130</v>
      </c>
      <c r="D21" s="7" t="s">
        <v>133</v>
      </c>
      <c r="E21" s="7" t="s">
        <v>22</v>
      </c>
      <c r="F21" s="7"/>
      <c r="G21" s="7"/>
    </row>
    <row r="22" spans="2:7" ht="31.5" customHeight="1" x14ac:dyDescent="0.55000000000000004">
      <c r="B22" s="8" t="s">
        <v>134</v>
      </c>
      <c r="C22" s="8" t="s">
        <v>130</v>
      </c>
      <c r="D22" s="8" t="s">
        <v>135</v>
      </c>
      <c r="E22" s="8" t="s">
        <v>20</v>
      </c>
      <c r="F22" s="8"/>
      <c r="G22" s="8"/>
    </row>
  </sheetData>
  <mergeCells count="5">
    <mergeCell ref="B1:G1"/>
    <mergeCell ref="B2:G2"/>
    <mergeCell ref="B4:G4"/>
    <mergeCell ref="B11:G11"/>
    <mergeCell ref="B19:G19"/>
  </mergeCells>
  <dataValidations count="1">
    <dataValidation type="list" allowBlank="1" sqref="E5:E10 E12:E18 E20:E22" xr:uid="{00000000-0002-0000-0200-000000000000}">
      <formula1>"YES,PARTIAL,NO,N/A"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G33"/>
  <sheetViews>
    <sheetView showGridLines="0" zoomScale="88" zoomScaleNormal="88" workbookViewId="0">
      <pane xSplit="1" ySplit="3" topLeftCell="B21" activePane="bottomRight" state="frozen"/>
      <selection pane="topRight" activeCell="B1" sqref="B1"/>
      <selection pane="bottomLeft" activeCell="A4" sqref="A4"/>
      <selection pane="bottomRight" activeCell="E33" sqref="E33"/>
    </sheetView>
  </sheetViews>
  <sheetFormatPr defaultColWidth="8.68359375" defaultRowHeight="14.4" x14ac:dyDescent="0.55000000000000004"/>
  <cols>
    <col min="1" max="1" width="3" customWidth="1"/>
    <col min="2" max="2" width="12" customWidth="1"/>
    <col min="3" max="3" width="28" customWidth="1"/>
    <col min="4" max="4" width="52" customWidth="1"/>
    <col min="5" max="5" width="14" customWidth="1"/>
    <col min="6" max="6" width="35" customWidth="1"/>
    <col min="7" max="7" width="16" customWidth="1"/>
  </cols>
  <sheetData>
    <row r="1" spans="2:7" ht="34.5" customHeight="1" x14ac:dyDescent="0.55000000000000004">
      <c r="B1" s="42" t="s">
        <v>136</v>
      </c>
      <c r="C1" s="42"/>
      <c r="D1" s="42"/>
      <c r="E1" s="42"/>
      <c r="F1" s="42"/>
      <c r="G1" s="42"/>
    </row>
    <row r="2" spans="2:7" ht="21.75" customHeight="1" x14ac:dyDescent="0.55000000000000004">
      <c r="B2" s="43" t="s">
        <v>137</v>
      </c>
      <c r="C2" s="43"/>
      <c r="D2" s="43"/>
      <c r="E2" s="43"/>
      <c r="F2" s="43"/>
      <c r="G2" s="43"/>
    </row>
    <row r="3" spans="2:7" ht="21.75" customHeight="1" x14ac:dyDescent="0.55000000000000004">
      <c r="B3" s="10" t="s">
        <v>30</v>
      </c>
      <c r="C3" s="10" t="s">
        <v>31</v>
      </c>
      <c r="D3" s="10" t="s">
        <v>32</v>
      </c>
      <c r="E3" s="10" t="s">
        <v>33</v>
      </c>
      <c r="F3" s="10" t="s">
        <v>34</v>
      </c>
      <c r="G3" s="10" t="s">
        <v>35</v>
      </c>
    </row>
    <row r="4" spans="2:7" ht="21.75" customHeight="1" x14ac:dyDescent="0.55000000000000004">
      <c r="B4" s="37" t="s">
        <v>138</v>
      </c>
      <c r="C4" s="37"/>
      <c r="D4" s="37"/>
      <c r="E4" s="37"/>
      <c r="F4" s="37"/>
      <c r="G4" s="37"/>
    </row>
    <row r="5" spans="2:7" ht="31.5" customHeight="1" x14ac:dyDescent="0.55000000000000004">
      <c r="B5" s="7" t="s">
        <v>139</v>
      </c>
      <c r="C5" s="7" t="s">
        <v>140</v>
      </c>
      <c r="D5" s="7" t="s">
        <v>141</v>
      </c>
      <c r="E5" s="7" t="s">
        <v>24</v>
      </c>
      <c r="F5" s="7"/>
      <c r="G5" s="7"/>
    </row>
    <row r="6" spans="2:7" ht="31.5" customHeight="1" x14ac:dyDescent="0.55000000000000004">
      <c r="B6" s="8" t="s">
        <v>142</v>
      </c>
      <c r="C6" s="8" t="s">
        <v>140</v>
      </c>
      <c r="D6" s="8" t="s">
        <v>143</v>
      </c>
      <c r="E6" s="8" t="s">
        <v>20</v>
      </c>
      <c r="F6" s="8"/>
      <c r="G6" s="8"/>
    </row>
    <row r="7" spans="2:7" ht="31.5" customHeight="1" x14ac:dyDescent="0.55000000000000004">
      <c r="B7" s="7" t="s">
        <v>144</v>
      </c>
      <c r="C7" s="7" t="s">
        <v>140</v>
      </c>
      <c r="D7" s="7" t="s">
        <v>145</v>
      </c>
      <c r="E7" s="7" t="s">
        <v>20</v>
      </c>
      <c r="F7" s="7"/>
      <c r="G7" s="7"/>
    </row>
    <row r="8" spans="2:7" ht="31.5" customHeight="1" x14ac:dyDescent="0.55000000000000004">
      <c r="B8" s="8" t="s">
        <v>146</v>
      </c>
      <c r="C8" s="8" t="s">
        <v>140</v>
      </c>
      <c r="D8" s="8" t="s">
        <v>147</v>
      </c>
      <c r="E8" s="8" t="s">
        <v>24</v>
      </c>
      <c r="F8" s="8"/>
      <c r="G8" s="8"/>
    </row>
    <row r="9" spans="2:7" ht="31.5" customHeight="1" x14ac:dyDescent="0.55000000000000004">
      <c r="B9" s="7" t="s">
        <v>148</v>
      </c>
      <c r="C9" s="7" t="s">
        <v>140</v>
      </c>
      <c r="D9" s="7" t="s">
        <v>149</v>
      </c>
      <c r="E9" s="7" t="s">
        <v>20</v>
      </c>
      <c r="F9" s="7"/>
      <c r="G9" s="7"/>
    </row>
    <row r="10" spans="2:7" ht="31.5" customHeight="1" x14ac:dyDescent="0.55000000000000004">
      <c r="B10" s="8" t="s">
        <v>150</v>
      </c>
      <c r="C10" s="8" t="s">
        <v>140</v>
      </c>
      <c r="D10" s="8" t="s">
        <v>151</v>
      </c>
      <c r="E10" s="8" t="s">
        <v>20</v>
      </c>
      <c r="F10" s="8"/>
      <c r="G10" s="8"/>
    </row>
    <row r="11" spans="2:7" ht="21.75" customHeight="1" x14ac:dyDescent="0.55000000000000004">
      <c r="B11" s="37" t="s">
        <v>152</v>
      </c>
      <c r="C11" s="37"/>
      <c r="D11" s="37"/>
      <c r="E11" s="37"/>
      <c r="F11" s="37"/>
      <c r="G11" s="37"/>
    </row>
    <row r="12" spans="2:7" ht="31.5" customHeight="1" x14ac:dyDescent="0.55000000000000004">
      <c r="B12" s="8" t="s">
        <v>153</v>
      </c>
      <c r="C12" s="8" t="s">
        <v>154</v>
      </c>
      <c r="D12" s="8" t="s">
        <v>155</v>
      </c>
      <c r="E12" s="8" t="s">
        <v>20</v>
      </c>
      <c r="F12" s="8"/>
      <c r="G12" s="8"/>
    </row>
    <row r="13" spans="2:7" ht="31.5" customHeight="1" x14ac:dyDescent="0.55000000000000004">
      <c r="B13" s="7" t="s">
        <v>156</v>
      </c>
      <c r="C13" s="7" t="s">
        <v>154</v>
      </c>
      <c r="D13" s="7" t="s">
        <v>157</v>
      </c>
      <c r="E13" s="7" t="s">
        <v>20</v>
      </c>
      <c r="F13" s="7"/>
      <c r="G13" s="7"/>
    </row>
    <row r="14" spans="2:7" ht="31.5" customHeight="1" x14ac:dyDescent="0.55000000000000004">
      <c r="B14" s="8" t="s">
        <v>158</v>
      </c>
      <c r="C14" s="8" t="s">
        <v>154</v>
      </c>
      <c r="D14" s="8" t="s">
        <v>159</v>
      </c>
      <c r="E14" s="8" t="s">
        <v>20</v>
      </c>
      <c r="F14" s="8"/>
      <c r="G14" s="8"/>
    </row>
    <row r="15" spans="2:7" ht="31.5" customHeight="1" x14ac:dyDescent="0.55000000000000004">
      <c r="B15" s="7" t="s">
        <v>160</v>
      </c>
      <c r="C15" s="7" t="s">
        <v>154</v>
      </c>
      <c r="D15" s="7" t="s">
        <v>161</v>
      </c>
      <c r="E15" s="7" t="s">
        <v>24</v>
      </c>
      <c r="F15" s="7"/>
      <c r="G15" s="7"/>
    </row>
    <row r="16" spans="2:7" ht="21.75" customHeight="1" x14ac:dyDescent="0.55000000000000004">
      <c r="B16" s="37" t="s">
        <v>162</v>
      </c>
      <c r="C16" s="37"/>
      <c r="D16" s="37"/>
      <c r="E16" s="37"/>
      <c r="F16" s="37"/>
      <c r="G16" s="37"/>
    </row>
    <row r="17" spans="2:7" ht="31.5" customHeight="1" x14ac:dyDescent="0.55000000000000004">
      <c r="B17" s="7" t="s">
        <v>163</v>
      </c>
      <c r="C17" s="7" t="s">
        <v>164</v>
      </c>
      <c r="D17" s="7" t="s">
        <v>165</v>
      </c>
      <c r="E17" s="7" t="s">
        <v>20</v>
      </c>
      <c r="F17" s="7"/>
      <c r="G17" s="7"/>
    </row>
    <row r="18" spans="2:7" ht="31.5" customHeight="1" x14ac:dyDescent="0.55000000000000004">
      <c r="B18" s="8" t="s">
        <v>166</v>
      </c>
      <c r="C18" s="8" t="s">
        <v>164</v>
      </c>
      <c r="D18" s="8" t="s">
        <v>167</v>
      </c>
      <c r="E18" s="8" t="s">
        <v>20</v>
      </c>
      <c r="F18" s="8"/>
      <c r="G18" s="8"/>
    </row>
    <row r="19" spans="2:7" ht="31.5" customHeight="1" x14ac:dyDescent="0.55000000000000004">
      <c r="B19" s="7" t="s">
        <v>168</v>
      </c>
      <c r="C19" s="7" t="s">
        <v>164</v>
      </c>
      <c r="D19" s="7" t="s">
        <v>169</v>
      </c>
      <c r="E19" s="7" t="s">
        <v>20</v>
      </c>
      <c r="F19" s="7"/>
      <c r="G19" s="7"/>
    </row>
    <row r="20" spans="2:7" ht="31.5" customHeight="1" x14ac:dyDescent="0.55000000000000004">
      <c r="B20" s="8" t="s">
        <v>170</v>
      </c>
      <c r="C20" s="8" t="s">
        <v>164</v>
      </c>
      <c r="D20" s="8" t="s">
        <v>171</v>
      </c>
      <c r="E20" s="8" t="s">
        <v>24</v>
      </c>
      <c r="F20" s="8"/>
      <c r="G20" s="8"/>
    </row>
    <row r="21" spans="2:7" ht="31.5" customHeight="1" x14ac:dyDescent="0.55000000000000004">
      <c r="B21" s="7" t="s">
        <v>172</v>
      </c>
      <c r="C21" s="7" t="s">
        <v>164</v>
      </c>
      <c r="D21" s="7" t="s">
        <v>173</v>
      </c>
      <c r="E21" s="7" t="s">
        <v>24</v>
      </c>
      <c r="F21" s="7"/>
      <c r="G21" s="7"/>
    </row>
    <row r="22" spans="2:7" ht="31.5" customHeight="1" x14ac:dyDescent="0.55000000000000004">
      <c r="B22" s="8" t="s">
        <v>174</v>
      </c>
      <c r="C22" s="8" t="s">
        <v>164</v>
      </c>
      <c r="D22" s="8" t="s">
        <v>175</v>
      </c>
      <c r="E22" s="8" t="s">
        <v>20</v>
      </c>
      <c r="F22" s="8"/>
      <c r="G22" s="8"/>
    </row>
    <row r="23" spans="2:7" ht="21.75" customHeight="1" x14ac:dyDescent="0.55000000000000004">
      <c r="B23" s="37" t="s">
        <v>176</v>
      </c>
      <c r="C23" s="37"/>
      <c r="D23" s="37"/>
      <c r="E23" s="37"/>
      <c r="F23" s="37"/>
      <c r="G23" s="37"/>
    </row>
    <row r="24" spans="2:7" ht="31.5" customHeight="1" x14ac:dyDescent="0.55000000000000004">
      <c r="B24" s="8" t="s">
        <v>177</v>
      </c>
      <c r="C24" s="8" t="s">
        <v>178</v>
      </c>
      <c r="D24" s="8" t="s">
        <v>179</v>
      </c>
      <c r="E24" s="8" t="s">
        <v>20</v>
      </c>
      <c r="F24" s="8"/>
      <c r="G24" s="8"/>
    </row>
    <row r="25" spans="2:7" ht="31.5" customHeight="1" x14ac:dyDescent="0.55000000000000004">
      <c r="B25" s="7" t="s">
        <v>180</v>
      </c>
      <c r="C25" s="7" t="s">
        <v>178</v>
      </c>
      <c r="D25" s="7" t="s">
        <v>181</v>
      </c>
      <c r="E25" s="7" t="s">
        <v>20</v>
      </c>
      <c r="F25" s="7"/>
      <c r="G25" s="7"/>
    </row>
    <row r="26" spans="2:7" ht="31.5" customHeight="1" x14ac:dyDescent="0.55000000000000004">
      <c r="B26" s="8" t="s">
        <v>182</v>
      </c>
      <c r="C26" s="8" t="s">
        <v>178</v>
      </c>
      <c r="D26" s="8" t="s">
        <v>183</v>
      </c>
      <c r="E26" s="8" t="s">
        <v>22</v>
      </c>
      <c r="F26" s="8"/>
      <c r="G26" s="8"/>
    </row>
    <row r="27" spans="2:7" ht="31.5" customHeight="1" x14ac:dyDescent="0.55000000000000004">
      <c r="B27" s="7" t="s">
        <v>184</v>
      </c>
      <c r="C27" s="7" t="s">
        <v>178</v>
      </c>
      <c r="D27" s="7" t="s">
        <v>185</v>
      </c>
      <c r="E27" s="7" t="s">
        <v>20</v>
      </c>
      <c r="F27" s="7"/>
      <c r="G27" s="7"/>
    </row>
    <row r="28" spans="2:7" ht="31.5" customHeight="1" x14ac:dyDescent="0.55000000000000004">
      <c r="B28" s="8" t="s">
        <v>186</v>
      </c>
      <c r="C28" s="8" t="s">
        <v>178</v>
      </c>
      <c r="D28" s="8" t="s">
        <v>187</v>
      </c>
      <c r="E28" s="8" t="s">
        <v>20</v>
      </c>
      <c r="F28" s="8"/>
      <c r="G28" s="8"/>
    </row>
    <row r="29" spans="2:7" ht="21.75" customHeight="1" x14ac:dyDescent="0.55000000000000004">
      <c r="B29" s="37" t="s">
        <v>188</v>
      </c>
      <c r="C29" s="37"/>
      <c r="D29" s="37"/>
      <c r="E29" s="37"/>
      <c r="F29" s="37"/>
      <c r="G29" s="37"/>
    </row>
    <row r="30" spans="2:7" ht="31.5" customHeight="1" x14ac:dyDescent="0.55000000000000004">
      <c r="B30" s="8" t="s">
        <v>189</v>
      </c>
      <c r="C30" s="8" t="s">
        <v>190</v>
      </c>
      <c r="D30" s="8" t="s">
        <v>191</v>
      </c>
      <c r="E30" s="8" t="s">
        <v>20</v>
      </c>
      <c r="F30" s="8"/>
      <c r="G30" s="8"/>
    </row>
    <row r="31" spans="2:7" ht="31.5" customHeight="1" x14ac:dyDescent="0.55000000000000004">
      <c r="B31" s="7" t="s">
        <v>192</v>
      </c>
      <c r="C31" s="7" t="s">
        <v>190</v>
      </c>
      <c r="D31" s="7" t="s">
        <v>193</v>
      </c>
      <c r="E31" s="7" t="s">
        <v>20</v>
      </c>
      <c r="F31" s="7"/>
      <c r="G31" s="7"/>
    </row>
    <row r="32" spans="2:7" ht="31.5" customHeight="1" x14ac:dyDescent="0.55000000000000004">
      <c r="B32" s="8" t="s">
        <v>194</v>
      </c>
      <c r="C32" s="8" t="s">
        <v>190</v>
      </c>
      <c r="D32" s="8" t="s">
        <v>195</v>
      </c>
      <c r="E32" s="8" t="s">
        <v>24</v>
      </c>
      <c r="F32" s="8"/>
      <c r="G32" s="8"/>
    </row>
    <row r="33" spans="2:7" ht="31.5" customHeight="1" x14ac:dyDescent="0.55000000000000004">
      <c r="B33" s="7" t="s">
        <v>196</v>
      </c>
      <c r="C33" s="7" t="s">
        <v>190</v>
      </c>
      <c r="D33" s="7" t="s">
        <v>197</v>
      </c>
      <c r="E33" s="7" t="s">
        <v>20</v>
      </c>
      <c r="F33" s="7"/>
      <c r="G33" s="7"/>
    </row>
  </sheetData>
  <mergeCells count="7">
    <mergeCell ref="B23:G23"/>
    <mergeCell ref="B29:G29"/>
    <mergeCell ref="B1:G1"/>
    <mergeCell ref="B2:G2"/>
    <mergeCell ref="B4:G4"/>
    <mergeCell ref="B11:G11"/>
    <mergeCell ref="B16:G16"/>
  </mergeCells>
  <dataValidations count="1">
    <dataValidation type="list" allowBlank="1" sqref="E5:E10 E12:E15 E17:E22 E24:E28 E30:E33" xr:uid="{00000000-0002-0000-0300-000000000000}">
      <formula1>"YES,PARTIAL,NO,N/A"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G19"/>
  <sheetViews>
    <sheetView showGridLines="0" zoomScale="83" zoomScaleNormal="83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E16" sqref="E16"/>
    </sheetView>
  </sheetViews>
  <sheetFormatPr defaultColWidth="8.68359375" defaultRowHeight="14.4" x14ac:dyDescent="0.55000000000000004"/>
  <cols>
    <col min="1" max="1" width="3" customWidth="1"/>
    <col min="2" max="2" width="12" customWidth="1"/>
    <col min="3" max="3" width="28" customWidth="1"/>
    <col min="4" max="4" width="52" customWidth="1"/>
    <col min="5" max="5" width="14" customWidth="1"/>
    <col min="6" max="6" width="35" customWidth="1"/>
    <col min="7" max="7" width="16" customWidth="1"/>
  </cols>
  <sheetData>
    <row r="1" spans="2:7" ht="34.5" customHeight="1" x14ac:dyDescent="0.55000000000000004">
      <c r="B1" s="44" t="s">
        <v>198</v>
      </c>
      <c r="C1" s="44"/>
      <c r="D1" s="44"/>
      <c r="E1" s="44"/>
      <c r="F1" s="44"/>
      <c r="G1" s="44"/>
    </row>
    <row r="2" spans="2:7" ht="21.75" customHeight="1" x14ac:dyDescent="0.55000000000000004">
      <c r="B2" s="45" t="s">
        <v>199</v>
      </c>
      <c r="C2" s="45"/>
      <c r="D2" s="45"/>
      <c r="E2" s="45"/>
      <c r="F2" s="45"/>
      <c r="G2" s="45"/>
    </row>
    <row r="3" spans="2:7" ht="21.75" customHeight="1" x14ac:dyDescent="0.55000000000000004">
      <c r="B3" s="11" t="s">
        <v>30</v>
      </c>
      <c r="C3" s="11" t="s">
        <v>31</v>
      </c>
      <c r="D3" s="11" t="s">
        <v>32</v>
      </c>
      <c r="E3" s="11" t="s">
        <v>33</v>
      </c>
      <c r="F3" s="11" t="s">
        <v>34</v>
      </c>
      <c r="G3" s="11" t="s">
        <v>35</v>
      </c>
    </row>
    <row r="4" spans="2:7" ht="21.75" customHeight="1" x14ac:dyDescent="0.55000000000000004">
      <c r="B4" s="37" t="s">
        <v>200</v>
      </c>
      <c r="C4" s="37"/>
      <c r="D4" s="37"/>
      <c r="E4" s="37"/>
      <c r="F4" s="37"/>
      <c r="G4" s="37"/>
    </row>
    <row r="5" spans="2:7" ht="31.5" customHeight="1" x14ac:dyDescent="0.55000000000000004">
      <c r="B5" s="7" t="s">
        <v>201</v>
      </c>
      <c r="C5" s="7" t="s">
        <v>202</v>
      </c>
      <c r="D5" s="7" t="s">
        <v>203</v>
      </c>
      <c r="E5" s="7" t="s">
        <v>20</v>
      </c>
      <c r="F5" s="7"/>
      <c r="G5" s="7"/>
    </row>
    <row r="6" spans="2:7" ht="31.5" customHeight="1" x14ac:dyDescent="0.55000000000000004">
      <c r="B6" s="8" t="s">
        <v>204</v>
      </c>
      <c r="C6" s="8" t="s">
        <v>202</v>
      </c>
      <c r="D6" s="8" t="s">
        <v>205</v>
      </c>
      <c r="E6" s="8" t="s">
        <v>20</v>
      </c>
      <c r="F6" s="8"/>
      <c r="G6" s="8"/>
    </row>
    <row r="7" spans="2:7" ht="31.5" customHeight="1" x14ac:dyDescent="0.55000000000000004">
      <c r="B7" s="7" t="s">
        <v>206</v>
      </c>
      <c r="C7" s="7" t="s">
        <v>202</v>
      </c>
      <c r="D7" s="7" t="s">
        <v>207</v>
      </c>
      <c r="E7" s="7" t="s">
        <v>20</v>
      </c>
      <c r="F7" s="7"/>
      <c r="G7" s="7"/>
    </row>
    <row r="8" spans="2:7" ht="31.5" customHeight="1" x14ac:dyDescent="0.55000000000000004">
      <c r="B8" s="8" t="s">
        <v>208</v>
      </c>
      <c r="C8" s="8" t="s">
        <v>202</v>
      </c>
      <c r="D8" s="8" t="s">
        <v>209</v>
      </c>
      <c r="E8" s="8" t="s">
        <v>24</v>
      </c>
      <c r="F8" s="8"/>
      <c r="G8" s="8"/>
    </row>
    <row r="9" spans="2:7" ht="31.5" customHeight="1" x14ac:dyDescent="0.55000000000000004">
      <c r="B9" s="7" t="s">
        <v>210</v>
      </c>
      <c r="C9" s="7" t="s">
        <v>202</v>
      </c>
      <c r="D9" s="7" t="s">
        <v>211</v>
      </c>
      <c r="E9" s="7" t="s">
        <v>20</v>
      </c>
      <c r="F9" s="7"/>
      <c r="G9" s="7"/>
    </row>
    <row r="10" spans="2:7" ht="31.5" customHeight="1" x14ac:dyDescent="0.55000000000000004">
      <c r="B10" s="8" t="s">
        <v>212</v>
      </c>
      <c r="C10" s="8" t="s">
        <v>202</v>
      </c>
      <c r="D10" s="8" t="s">
        <v>213</v>
      </c>
      <c r="E10" s="8" t="s">
        <v>22</v>
      </c>
      <c r="F10" s="8"/>
      <c r="G10" s="8"/>
    </row>
    <row r="11" spans="2:7" ht="31.5" customHeight="1" x14ac:dyDescent="0.55000000000000004">
      <c r="B11" s="7" t="s">
        <v>214</v>
      </c>
      <c r="C11" s="7" t="s">
        <v>202</v>
      </c>
      <c r="D11" s="7" t="s">
        <v>215</v>
      </c>
      <c r="E11" s="7" t="s">
        <v>20</v>
      </c>
      <c r="F11" s="7"/>
      <c r="G11" s="7"/>
    </row>
    <row r="12" spans="2:7" ht="21.75" customHeight="1" x14ac:dyDescent="0.55000000000000004">
      <c r="B12" s="37" t="s">
        <v>216</v>
      </c>
      <c r="C12" s="37"/>
      <c r="D12" s="37"/>
      <c r="E12" s="37"/>
      <c r="F12" s="37"/>
      <c r="G12" s="37"/>
    </row>
    <row r="13" spans="2:7" ht="31.5" customHeight="1" x14ac:dyDescent="0.55000000000000004">
      <c r="B13" s="7" t="s">
        <v>217</v>
      </c>
      <c r="C13" s="7" t="s">
        <v>218</v>
      </c>
      <c r="D13" s="7" t="s">
        <v>219</v>
      </c>
      <c r="E13" s="7" t="s">
        <v>20</v>
      </c>
      <c r="F13" s="7"/>
      <c r="G13" s="7"/>
    </row>
    <row r="14" spans="2:7" ht="31.5" customHeight="1" x14ac:dyDescent="0.55000000000000004">
      <c r="B14" s="8" t="s">
        <v>220</v>
      </c>
      <c r="C14" s="8" t="s">
        <v>218</v>
      </c>
      <c r="D14" s="8" t="s">
        <v>221</v>
      </c>
      <c r="E14" s="8" t="s">
        <v>20</v>
      </c>
      <c r="F14" s="8"/>
      <c r="G14" s="8"/>
    </row>
    <row r="15" spans="2:7" ht="31.5" customHeight="1" x14ac:dyDescent="0.55000000000000004">
      <c r="B15" s="7" t="s">
        <v>222</v>
      </c>
      <c r="C15" s="7" t="s">
        <v>218</v>
      </c>
      <c r="D15" s="7" t="s">
        <v>223</v>
      </c>
      <c r="E15" s="7" t="s">
        <v>20</v>
      </c>
      <c r="F15" s="7"/>
      <c r="G15" s="7"/>
    </row>
    <row r="16" spans="2:7" ht="31.5" customHeight="1" x14ac:dyDescent="0.55000000000000004">
      <c r="B16" s="8" t="s">
        <v>224</v>
      </c>
      <c r="C16" s="8" t="s">
        <v>218</v>
      </c>
      <c r="D16" s="8" t="s">
        <v>225</v>
      </c>
      <c r="E16" s="8" t="s">
        <v>20</v>
      </c>
      <c r="F16" s="8"/>
      <c r="G16" s="8"/>
    </row>
    <row r="17" spans="2:7" ht="31.5" customHeight="1" x14ac:dyDescent="0.55000000000000004">
      <c r="B17" s="7" t="s">
        <v>226</v>
      </c>
      <c r="C17" s="7" t="s">
        <v>218</v>
      </c>
      <c r="D17" s="7" t="s">
        <v>227</v>
      </c>
      <c r="E17" s="7" t="s">
        <v>22</v>
      </c>
      <c r="F17" s="7"/>
      <c r="G17" s="7"/>
    </row>
    <row r="18" spans="2:7" ht="31.5" customHeight="1" x14ac:dyDescent="0.55000000000000004">
      <c r="B18" s="8" t="s">
        <v>228</v>
      </c>
      <c r="C18" s="8" t="s">
        <v>218</v>
      </c>
      <c r="D18" s="8" t="s">
        <v>229</v>
      </c>
      <c r="E18" s="8" t="s">
        <v>20</v>
      </c>
      <c r="F18" s="8"/>
      <c r="G18" s="8"/>
    </row>
    <row r="19" spans="2:7" ht="31.5" customHeight="1" x14ac:dyDescent="0.55000000000000004">
      <c r="B19" s="7" t="s">
        <v>230</v>
      </c>
      <c r="C19" s="7" t="s">
        <v>218</v>
      </c>
      <c r="D19" s="7" t="s">
        <v>231</v>
      </c>
      <c r="E19" s="7" t="s">
        <v>20</v>
      </c>
      <c r="F19" s="7"/>
      <c r="G19" s="7"/>
    </row>
  </sheetData>
  <mergeCells count="4">
    <mergeCell ref="B1:G1"/>
    <mergeCell ref="B2:G2"/>
    <mergeCell ref="B4:G4"/>
    <mergeCell ref="B12:G12"/>
  </mergeCells>
  <dataValidations count="1">
    <dataValidation type="list" allowBlank="1" sqref="E5:E11 E13:E19" xr:uid="{00000000-0002-0000-0400-000000000000}">
      <formula1>"YES,PARTIAL,NO,N/A"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G24"/>
  <sheetViews>
    <sheetView showGridLines="0" zoomScale="88" zoomScaleNormal="88" workbookViewId="0">
      <pane xSplit="1" ySplit="3" topLeftCell="B16" activePane="bottomRight" state="frozen"/>
      <selection pane="topRight" activeCell="B1" sqref="B1"/>
      <selection pane="bottomLeft" activeCell="A4" sqref="A4"/>
      <selection pane="bottomRight" activeCell="E24" sqref="E24"/>
    </sheetView>
  </sheetViews>
  <sheetFormatPr defaultColWidth="8.68359375" defaultRowHeight="14.4" x14ac:dyDescent="0.55000000000000004"/>
  <cols>
    <col min="1" max="1" width="3" customWidth="1"/>
    <col min="2" max="2" width="12" customWidth="1"/>
    <col min="3" max="3" width="28" customWidth="1"/>
    <col min="4" max="4" width="52" customWidth="1"/>
    <col min="5" max="5" width="14" customWidth="1"/>
    <col min="6" max="6" width="35" customWidth="1"/>
    <col min="7" max="7" width="16" customWidth="1"/>
  </cols>
  <sheetData>
    <row r="1" spans="2:7" ht="34.5" customHeight="1" x14ac:dyDescent="0.55000000000000004">
      <c r="B1" s="46" t="s">
        <v>232</v>
      </c>
      <c r="C1" s="46"/>
      <c r="D1" s="46"/>
      <c r="E1" s="46"/>
      <c r="F1" s="46"/>
      <c r="G1" s="46"/>
    </row>
    <row r="2" spans="2:7" ht="21.75" customHeight="1" x14ac:dyDescent="0.55000000000000004">
      <c r="B2" s="47" t="s">
        <v>233</v>
      </c>
      <c r="C2" s="47"/>
      <c r="D2" s="47"/>
      <c r="E2" s="47"/>
      <c r="F2" s="47"/>
      <c r="G2" s="47"/>
    </row>
    <row r="3" spans="2:7" ht="21.75" customHeight="1" x14ac:dyDescent="0.55000000000000004">
      <c r="B3" s="12" t="s">
        <v>30</v>
      </c>
      <c r="C3" s="12" t="s">
        <v>31</v>
      </c>
      <c r="D3" s="12" t="s">
        <v>32</v>
      </c>
      <c r="E3" s="12" t="s">
        <v>33</v>
      </c>
      <c r="F3" s="12" t="s">
        <v>34</v>
      </c>
      <c r="G3" s="12" t="s">
        <v>35</v>
      </c>
    </row>
    <row r="4" spans="2:7" ht="21.75" customHeight="1" x14ac:dyDescent="0.55000000000000004">
      <c r="B4" s="37" t="s">
        <v>234</v>
      </c>
      <c r="C4" s="37"/>
      <c r="D4" s="37"/>
      <c r="E4" s="37"/>
      <c r="F4" s="37"/>
      <c r="G4" s="37"/>
    </row>
    <row r="5" spans="2:7" ht="31.5" customHeight="1" x14ac:dyDescent="0.55000000000000004">
      <c r="B5" s="7" t="s">
        <v>235</v>
      </c>
      <c r="C5" s="7" t="s">
        <v>236</v>
      </c>
      <c r="D5" s="7" t="s">
        <v>237</v>
      </c>
      <c r="E5" s="7" t="s">
        <v>22</v>
      </c>
      <c r="F5" s="7"/>
      <c r="G5" s="7"/>
    </row>
    <row r="6" spans="2:7" ht="31.5" customHeight="1" x14ac:dyDescent="0.55000000000000004">
      <c r="B6" s="8" t="s">
        <v>238</v>
      </c>
      <c r="C6" s="8" t="s">
        <v>236</v>
      </c>
      <c r="D6" s="8" t="s">
        <v>239</v>
      </c>
      <c r="E6" s="8" t="s">
        <v>20</v>
      </c>
      <c r="F6" s="8"/>
      <c r="G6" s="8"/>
    </row>
    <row r="7" spans="2:7" ht="31.5" customHeight="1" x14ac:dyDescent="0.55000000000000004">
      <c r="B7" s="7" t="s">
        <v>240</v>
      </c>
      <c r="C7" s="7" t="s">
        <v>236</v>
      </c>
      <c r="D7" s="7" t="s">
        <v>241</v>
      </c>
      <c r="E7" s="7" t="s">
        <v>20</v>
      </c>
      <c r="F7" s="7"/>
      <c r="G7" s="7"/>
    </row>
    <row r="8" spans="2:7" ht="31.5" customHeight="1" x14ac:dyDescent="0.55000000000000004">
      <c r="B8" s="8" t="s">
        <v>242</v>
      </c>
      <c r="C8" s="8" t="s">
        <v>236</v>
      </c>
      <c r="D8" s="8" t="s">
        <v>243</v>
      </c>
      <c r="E8" s="8" t="s">
        <v>20</v>
      </c>
      <c r="F8" s="8"/>
      <c r="G8" s="8"/>
    </row>
    <row r="9" spans="2:7" ht="31.5" customHeight="1" x14ac:dyDescent="0.55000000000000004">
      <c r="B9" s="7" t="s">
        <v>244</v>
      </c>
      <c r="C9" s="7" t="s">
        <v>236</v>
      </c>
      <c r="D9" s="7" t="s">
        <v>245</v>
      </c>
      <c r="E9" s="7" t="s">
        <v>26</v>
      </c>
      <c r="F9" s="7"/>
      <c r="G9" s="7"/>
    </row>
    <row r="10" spans="2:7" ht="21.75" customHeight="1" x14ac:dyDescent="0.55000000000000004">
      <c r="B10" s="37" t="s">
        <v>246</v>
      </c>
      <c r="C10" s="37"/>
      <c r="D10" s="37"/>
      <c r="E10" s="37"/>
      <c r="F10" s="37"/>
      <c r="G10" s="37"/>
    </row>
    <row r="11" spans="2:7" ht="31.5" customHeight="1" x14ac:dyDescent="0.55000000000000004">
      <c r="B11" s="7" t="s">
        <v>247</v>
      </c>
      <c r="C11" s="7" t="s">
        <v>248</v>
      </c>
      <c r="D11" s="7" t="s">
        <v>249</v>
      </c>
      <c r="E11" s="7" t="s">
        <v>20</v>
      </c>
      <c r="F11" s="7"/>
      <c r="G11" s="7"/>
    </row>
    <row r="12" spans="2:7" ht="31.5" customHeight="1" x14ac:dyDescent="0.55000000000000004">
      <c r="B12" s="8" t="s">
        <v>250</v>
      </c>
      <c r="C12" s="8" t="s">
        <v>248</v>
      </c>
      <c r="D12" s="8" t="s">
        <v>251</v>
      </c>
      <c r="E12" s="8" t="s">
        <v>24</v>
      </c>
      <c r="F12" s="8"/>
      <c r="G12" s="8"/>
    </row>
    <row r="13" spans="2:7" ht="31.5" customHeight="1" x14ac:dyDescent="0.55000000000000004">
      <c r="B13" s="7" t="s">
        <v>252</v>
      </c>
      <c r="C13" s="7" t="s">
        <v>248</v>
      </c>
      <c r="D13" s="7" t="s">
        <v>253</v>
      </c>
      <c r="E13" s="7" t="s">
        <v>24</v>
      </c>
      <c r="F13" s="7"/>
      <c r="G13" s="7"/>
    </row>
    <row r="14" spans="2:7" ht="31.5" customHeight="1" x14ac:dyDescent="0.55000000000000004">
      <c r="B14" s="8" t="s">
        <v>254</v>
      </c>
      <c r="C14" s="8" t="s">
        <v>248</v>
      </c>
      <c r="D14" s="8" t="s">
        <v>255</v>
      </c>
      <c r="E14" s="8" t="s">
        <v>20</v>
      </c>
      <c r="F14" s="8"/>
      <c r="G14" s="8"/>
    </row>
    <row r="15" spans="2:7" ht="31.5" customHeight="1" x14ac:dyDescent="0.55000000000000004">
      <c r="B15" s="7" t="s">
        <v>256</v>
      </c>
      <c r="C15" s="7" t="s">
        <v>248</v>
      </c>
      <c r="D15" s="7" t="s">
        <v>257</v>
      </c>
      <c r="E15" s="7" t="s">
        <v>20</v>
      </c>
      <c r="F15" s="7"/>
      <c r="G15" s="7"/>
    </row>
    <row r="16" spans="2:7" ht="31.5" customHeight="1" x14ac:dyDescent="0.55000000000000004">
      <c r="B16" s="8" t="s">
        <v>258</v>
      </c>
      <c r="C16" s="8" t="s">
        <v>248</v>
      </c>
      <c r="D16" s="8" t="s">
        <v>259</v>
      </c>
      <c r="E16" s="8" t="s">
        <v>24</v>
      </c>
      <c r="F16" s="8"/>
      <c r="G16" s="8"/>
    </row>
    <row r="17" spans="2:7" ht="21.75" customHeight="1" x14ac:dyDescent="0.55000000000000004">
      <c r="B17" s="37" t="s">
        <v>260</v>
      </c>
      <c r="C17" s="37"/>
      <c r="D17" s="37"/>
      <c r="E17" s="37"/>
      <c r="F17" s="37"/>
      <c r="G17" s="37"/>
    </row>
    <row r="18" spans="2:7" ht="31.5" customHeight="1" x14ac:dyDescent="0.55000000000000004">
      <c r="B18" s="8" t="s">
        <v>261</v>
      </c>
      <c r="C18" s="8" t="s">
        <v>262</v>
      </c>
      <c r="D18" s="8" t="s">
        <v>263</v>
      </c>
      <c r="E18" s="8" t="s">
        <v>20</v>
      </c>
      <c r="F18" s="8"/>
      <c r="G18" s="8"/>
    </row>
    <row r="19" spans="2:7" ht="31.5" customHeight="1" x14ac:dyDescent="0.55000000000000004">
      <c r="B19" s="7" t="s">
        <v>264</v>
      </c>
      <c r="C19" s="7" t="s">
        <v>262</v>
      </c>
      <c r="D19" s="7" t="s">
        <v>265</v>
      </c>
      <c r="E19" s="7" t="s">
        <v>26</v>
      </c>
      <c r="F19" s="7"/>
      <c r="G19" s="7"/>
    </row>
    <row r="20" spans="2:7" ht="31.5" customHeight="1" x14ac:dyDescent="0.55000000000000004">
      <c r="B20" s="8" t="s">
        <v>266</v>
      </c>
      <c r="C20" s="8" t="s">
        <v>262</v>
      </c>
      <c r="D20" s="8" t="s">
        <v>267</v>
      </c>
      <c r="E20" s="8" t="s">
        <v>24</v>
      </c>
      <c r="F20" s="8"/>
      <c r="G20" s="8"/>
    </row>
    <row r="21" spans="2:7" ht="21.75" customHeight="1" x14ac:dyDescent="0.55000000000000004">
      <c r="B21" s="37" t="s">
        <v>268</v>
      </c>
      <c r="C21" s="37"/>
      <c r="D21" s="37"/>
      <c r="E21" s="37"/>
      <c r="F21" s="37"/>
      <c r="G21" s="37"/>
    </row>
    <row r="22" spans="2:7" ht="31.5" customHeight="1" x14ac:dyDescent="0.55000000000000004">
      <c r="B22" s="8" t="s">
        <v>269</v>
      </c>
      <c r="C22" s="8" t="s">
        <v>270</v>
      </c>
      <c r="D22" s="8" t="s">
        <v>271</v>
      </c>
      <c r="E22" s="8" t="s">
        <v>20</v>
      </c>
      <c r="F22" s="8"/>
      <c r="G22" s="8"/>
    </row>
    <row r="23" spans="2:7" ht="31.5" customHeight="1" x14ac:dyDescent="0.55000000000000004">
      <c r="B23" s="7" t="s">
        <v>272</v>
      </c>
      <c r="C23" s="7" t="s">
        <v>270</v>
      </c>
      <c r="D23" s="7" t="s">
        <v>273</v>
      </c>
      <c r="E23" s="7" t="s">
        <v>22</v>
      </c>
      <c r="F23" s="7"/>
      <c r="G23" s="7"/>
    </row>
    <row r="24" spans="2:7" ht="31.5" customHeight="1" x14ac:dyDescent="0.55000000000000004">
      <c r="B24" s="8" t="s">
        <v>274</v>
      </c>
      <c r="C24" s="8" t="s">
        <v>270</v>
      </c>
      <c r="D24" s="8" t="s">
        <v>275</v>
      </c>
      <c r="E24" s="8" t="s">
        <v>20</v>
      </c>
      <c r="F24" s="8"/>
      <c r="G24" s="8"/>
    </row>
  </sheetData>
  <mergeCells count="6">
    <mergeCell ref="B21:G21"/>
    <mergeCell ref="B1:G1"/>
    <mergeCell ref="B2:G2"/>
    <mergeCell ref="B4:G4"/>
    <mergeCell ref="B10:G10"/>
    <mergeCell ref="B17:G17"/>
  </mergeCells>
  <dataValidations count="1">
    <dataValidation type="list" allowBlank="1" sqref="E5:E9 E11:E16 E18:E20 E22:E24" xr:uid="{00000000-0002-0000-0500-000000000000}">
      <formula1>"YES,PARTIAL,NO,N/A"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G13"/>
  <sheetViews>
    <sheetView showGridLines="0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F15" sqref="F15"/>
    </sheetView>
  </sheetViews>
  <sheetFormatPr defaultColWidth="8.68359375" defaultRowHeight="14.4" x14ac:dyDescent="0.55000000000000004"/>
  <cols>
    <col min="1" max="1" width="3" customWidth="1"/>
    <col min="2" max="2" width="12" customWidth="1"/>
    <col min="3" max="3" width="28" customWidth="1"/>
    <col min="4" max="4" width="52" customWidth="1"/>
    <col min="5" max="5" width="14" customWidth="1"/>
    <col min="6" max="6" width="35" customWidth="1"/>
    <col min="7" max="7" width="16" customWidth="1"/>
  </cols>
  <sheetData>
    <row r="1" spans="2:7" ht="34.5" customHeight="1" x14ac:dyDescent="0.55000000000000004">
      <c r="B1" s="48" t="s">
        <v>276</v>
      </c>
      <c r="C1" s="48"/>
      <c r="D1" s="48"/>
      <c r="E1" s="48"/>
      <c r="F1" s="48"/>
      <c r="G1" s="48"/>
    </row>
    <row r="2" spans="2:7" ht="21.75" customHeight="1" x14ac:dyDescent="0.55000000000000004">
      <c r="B2" s="49" t="s">
        <v>277</v>
      </c>
      <c r="C2" s="49"/>
      <c r="D2" s="49"/>
      <c r="E2" s="49"/>
      <c r="F2" s="49"/>
      <c r="G2" s="49"/>
    </row>
    <row r="3" spans="2:7" ht="21.75" customHeight="1" x14ac:dyDescent="0.55000000000000004">
      <c r="B3" s="13" t="s">
        <v>30</v>
      </c>
      <c r="C3" s="13" t="s">
        <v>31</v>
      </c>
      <c r="D3" s="13" t="s">
        <v>32</v>
      </c>
      <c r="E3" s="13" t="s">
        <v>33</v>
      </c>
      <c r="F3" s="13" t="s">
        <v>34</v>
      </c>
      <c r="G3" s="13" t="s">
        <v>35</v>
      </c>
    </row>
    <row r="4" spans="2:7" ht="21.75" customHeight="1" x14ac:dyDescent="0.55000000000000004">
      <c r="B4" s="37" t="s">
        <v>278</v>
      </c>
      <c r="C4" s="37"/>
      <c r="D4" s="37"/>
      <c r="E4" s="37"/>
      <c r="F4" s="37"/>
      <c r="G4" s="37"/>
    </row>
    <row r="5" spans="2:7" ht="31.5" customHeight="1" x14ac:dyDescent="0.55000000000000004">
      <c r="B5" s="7" t="s">
        <v>279</v>
      </c>
      <c r="C5" s="7" t="s">
        <v>280</v>
      </c>
      <c r="D5" s="7" t="s">
        <v>281</v>
      </c>
      <c r="E5" s="7" t="s">
        <v>22</v>
      </c>
      <c r="F5" s="7"/>
      <c r="G5" s="7"/>
    </row>
    <row r="6" spans="2:7" ht="31.5" customHeight="1" x14ac:dyDescent="0.55000000000000004">
      <c r="B6" s="8" t="s">
        <v>282</v>
      </c>
      <c r="C6" s="8" t="s">
        <v>280</v>
      </c>
      <c r="D6" s="8" t="s">
        <v>283</v>
      </c>
      <c r="E6" s="8" t="s">
        <v>20</v>
      </c>
      <c r="F6" s="8"/>
      <c r="G6" s="8"/>
    </row>
    <row r="7" spans="2:7" ht="31.5" customHeight="1" x14ac:dyDescent="0.55000000000000004">
      <c r="B7" s="7" t="s">
        <v>284</v>
      </c>
      <c r="C7" s="7" t="s">
        <v>280</v>
      </c>
      <c r="D7" s="7" t="s">
        <v>285</v>
      </c>
      <c r="E7" s="7" t="s">
        <v>20</v>
      </c>
      <c r="F7" s="7"/>
      <c r="G7" s="7"/>
    </row>
    <row r="8" spans="2:7" ht="31.5" customHeight="1" x14ac:dyDescent="0.55000000000000004">
      <c r="B8" s="8" t="s">
        <v>286</v>
      </c>
      <c r="C8" s="8" t="s">
        <v>280</v>
      </c>
      <c r="D8" s="8" t="s">
        <v>287</v>
      </c>
      <c r="E8" s="8" t="s">
        <v>24</v>
      </c>
      <c r="F8" s="8"/>
      <c r="G8" s="8"/>
    </row>
    <row r="9" spans="2:7" ht="31.5" customHeight="1" x14ac:dyDescent="0.55000000000000004">
      <c r="B9" s="7" t="s">
        <v>288</v>
      </c>
      <c r="C9" s="7" t="s">
        <v>280</v>
      </c>
      <c r="D9" s="7" t="s">
        <v>289</v>
      </c>
      <c r="E9" s="7" t="s">
        <v>20</v>
      </c>
      <c r="F9" s="7"/>
      <c r="G9" s="7"/>
    </row>
    <row r="10" spans="2:7" ht="21.75" customHeight="1" x14ac:dyDescent="0.55000000000000004">
      <c r="B10" s="37" t="s">
        <v>290</v>
      </c>
      <c r="C10" s="37"/>
      <c r="D10" s="37"/>
      <c r="E10" s="37"/>
      <c r="F10" s="37"/>
      <c r="G10" s="37"/>
    </row>
    <row r="11" spans="2:7" ht="31.5" customHeight="1" x14ac:dyDescent="0.55000000000000004">
      <c r="B11" s="7" t="s">
        <v>291</v>
      </c>
      <c r="C11" s="7" t="s">
        <v>292</v>
      </c>
      <c r="D11" s="7" t="s">
        <v>293</v>
      </c>
      <c r="E11" s="7" t="s">
        <v>20</v>
      </c>
      <c r="F11" s="7"/>
      <c r="G11" s="7"/>
    </row>
    <row r="12" spans="2:7" ht="31.5" customHeight="1" x14ac:dyDescent="0.55000000000000004">
      <c r="B12" s="8" t="s">
        <v>294</v>
      </c>
      <c r="C12" s="8" t="s">
        <v>292</v>
      </c>
      <c r="D12" s="8" t="s">
        <v>295</v>
      </c>
      <c r="E12" s="8" t="s">
        <v>24</v>
      </c>
      <c r="F12" s="8"/>
      <c r="G12" s="8"/>
    </row>
    <row r="13" spans="2:7" ht="31.5" customHeight="1" x14ac:dyDescent="0.55000000000000004">
      <c r="B13" s="7" t="s">
        <v>296</v>
      </c>
      <c r="C13" s="7" t="s">
        <v>292</v>
      </c>
      <c r="D13" s="7" t="s">
        <v>297</v>
      </c>
      <c r="E13" s="7" t="s">
        <v>20</v>
      </c>
      <c r="F13" s="7"/>
      <c r="G13" s="7"/>
    </row>
  </sheetData>
  <mergeCells count="4">
    <mergeCell ref="B1:G1"/>
    <mergeCell ref="B2:G2"/>
    <mergeCell ref="B4:G4"/>
    <mergeCell ref="B10:G10"/>
  </mergeCells>
  <dataValidations count="1">
    <dataValidation type="list" allowBlank="1" sqref="E5:E9 E11:E13" xr:uid="{00000000-0002-0000-0600-000000000000}">
      <formula1>"YES,PARTIAL,NO,N/A"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H19"/>
  <sheetViews>
    <sheetView showGridLines="0" topLeftCell="A4" zoomScaleNormal="100" workbookViewId="0">
      <selection activeCell="F14" sqref="F14"/>
    </sheetView>
  </sheetViews>
  <sheetFormatPr defaultColWidth="8.68359375" defaultRowHeight="14.4" x14ac:dyDescent="0.55000000000000004"/>
  <cols>
    <col min="1" max="1" width="3" customWidth="1"/>
    <col min="2" max="2" width="28" customWidth="1"/>
    <col min="3" max="6" width="15" customWidth="1"/>
    <col min="7" max="7" width="20" customWidth="1"/>
    <col min="8" max="8" width="22" customWidth="1"/>
  </cols>
  <sheetData>
    <row r="1" spans="2:8" ht="39.75" customHeight="1" x14ac:dyDescent="0.55000000000000004">
      <c r="B1" s="50" t="s">
        <v>298</v>
      </c>
      <c r="C1" s="50"/>
      <c r="D1" s="50"/>
      <c r="E1" s="50"/>
      <c r="F1" s="50"/>
      <c r="G1" s="50"/>
    </row>
    <row r="2" spans="2:8" ht="21.75" customHeight="1" x14ac:dyDescent="0.55000000000000004">
      <c r="B2" s="51" t="s">
        <v>299</v>
      </c>
      <c r="C2" s="51"/>
      <c r="D2" s="51"/>
      <c r="E2" s="51"/>
      <c r="F2" s="51"/>
      <c r="G2" s="51"/>
    </row>
    <row r="3" spans="2:8" ht="19.5" customHeight="1" x14ac:dyDescent="0.55000000000000004">
      <c r="B3" s="52" t="s">
        <v>300</v>
      </c>
      <c r="C3" s="52"/>
      <c r="D3" s="52"/>
      <c r="E3" s="52"/>
      <c r="F3" s="52"/>
      <c r="G3" s="52"/>
    </row>
    <row r="5" spans="2:8" ht="21.75" customHeight="1" x14ac:dyDescent="0.55000000000000004">
      <c r="B5" s="28" t="s">
        <v>301</v>
      </c>
      <c r="C5" s="28"/>
      <c r="D5" s="28"/>
      <c r="E5" s="28"/>
      <c r="F5" s="28"/>
      <c r="G5" s="28"/>
    </row>
    <row r="6" spans="2:8" ht="21.75" customHeight="1" x14ac:dyDescent="0.55000000000000004">
      <c r="B6" s="4" t="s">
        <v>302</v>
      </c>
      <c r="C6" s="14" t="s">
        <v>303</v>
      </c>
      <c r="D6" s="29" t="s">
        <v>304</v>
      </c>
      <c r="E6" s="29"/>
      <c r="F6" s="29"/>
      <c r="G6" s="29"/>
    </row>
    <row r="7" spans="2:8" ht="21.75" customHeight="1" x14ac:dyDescent="0.55000000000000004">
      <c r="B7" s="3" t="s">
        <v>305</v>
      </c>
      <c r="C7" s="14" t="s">
        <v>306</v>
      </c>
      <c r="D7" s="29" t="s">
        <v>307</v>
      </c>
      <c r="E7" s="29"/>
      <c r="F7" s="29"/>
      <c r="G7" s="29"/>
    </row>
    <row r="8" spans="2:8" ht="21.75" customHeight="1" x14ac:dyDescent="0.55000000000000004">
      <c r="B8" s="15" t="s">
        <v>308</v>
      </c>
      <c r="C8" s="14" t="s">
        <v>309</v>
      </c>
      <c r="D8" s="29" t="s">
        <v>310</v>
      </c>
      <c r="E8" s="29"/>
      <c r="F8" s="29"/>
      <c r="G8" s="29"/>
    </row>
    <row r="9" spans="2:8" ht="21.75" customHeight="1" x14ac:dyDescent="0.55000000000000004">
      <c r="B9" s="2" t="s">
        <v>311</v>
      </c>
      <c r="C9" s="14" t="s">
        <v>312</v>
      </c>
      <c r="D9" s="29" t="s">
        <v>313</v>
      </c>
      <c r="E9" s="29"/>
      <c r="F9" s="29"/>
      <c r="G9" s="29"/>
    </row>
    <row r="12" spans="2:8" ht="24.75" customHeight="1" x14ac:dyDescent="0.55000000000000004">
      <c r="B12" s="16" t="s">
        <v>314</v>
      </c>
      <c r="C12" s="16" t="s">
        <v>315</v>
      </c>
      <c r="D12" s="16" t="s">
        <v>20</v>
      </c>
      <c r="E12" s="16" t="s">
        <v>22</v>
      </c>
      <c r="F12" s="16" t="s">
        <v>316</v>
      </c>
      <c r="G12" s="16" t="s">
        <v>317</v>
      </c>
      <c r="H12" s="16" t="s">
        <v>318</v>
      </c>
    </row>
    <row r="13" spans="2:8" ht="21.75" customHeight="1" x14ac:dyDescent="0.55000000000000004">
      <c r="B13" s="7" t="s">
        <v>319</v>
      </c>
      <c r="C13" s="17">
        <v>17</v>
      </c>
      <c r="D13" s="17">
        <v>16</v>
      </c>
      <c r="E13" s="17">
        <v>2</v>
      </c>
      <c r="F13" s="17">
        <v>10</v>
      </c>
      <c r="G13" s="18">
        <f t="shared" ref="G13:G19" si="0">IFERROR((D13+(E13*0.5))/C13,0)</f>
        <v>1</v>
      </c>
      <c r="H13" s="19" t="str">
        <f t="shared" ref="H13:H19" si="1">IFERROR(IF(G13&lt;=0.25,"Tier 1 — Partial",IF(G13&lt;=0.5,"Tier 2 — Risk Informed",IF(G13&lt;=0.75,"Tier 3 — Repeatable","Tier 4 — Adaptive"))),"")</f>
        <v>Tier 4 — Adaptive</v>
      </c>
    </row>
    <row r="14" spans="2:8" ht="21.75" customHeight="1" x14ac:dyDescent="0.55000000000000004">
      <c r="B14" s="8" t="s">
        <v>320</v>
      </c>
      <c r="C14" s="20">
        <v>16</v>
      </c>
      <c r="D14" s="20">
        <v>11</v>
      </c>
      <c r="E14" s="20">
        <v>3</v>
      </c>
      <c r="F14" s="20">
        <v>2</v>
      </c>
      <c r="G14" s="21">
        <f t="shared" si="0"/>
        <v>0.78125</v>
      </c>
      <c r="H14" s="22" t="str">
        <f t="shared" si="1"/>
        <v>Tier 4 — Adaptive</v>
      </c>
    </row>
    <row r="15" spans="2:8" ht="21.75" customHeight="1" x14ac:dyDescent="0.55000000000000004">
      <c r="B15" s="7" t="s">
        <v>321</v>
      </c>
      <c r="C15" s="17">
        <v>19</v>
      </c>
      <c r="D15" s="17">
        <v>18</v>
      </c>
      <c r="E15" s="17">
        <v>2</v>
      </c>
      <c r="F15" s="17">
        <v>6</v>
      </c>
      <c r="G15" s="18">
        <f t="shared" si="0"/>
        <v>1</v>
      </c>
      <c r="H15" s="19" t="str">
        <f t="shared" si="1"/>
        <v>Tier 4 — Adaptive</v>
      </c>
    </row>
    <row r="16" spans="2:8" ht="21.75" customHeight="1" x14ac:dyDescent="0.55000000000000004">
      <c r="B16" s="8" t="s">
        <v>322</v>
      </c>
      <c r="C16" s="20">
        <v>14</v>
      </c>
      <c r="D16" s="20">
        <v>11</v>
      </c>
      <c r="E16" s="20">
        <v>2</v>
      </c>
      <c r="F16" s="20">
        <v>1</v>
      </c>
      <c r="G16" s="21">
        <f t="shared" si="0"/>
        <v>0.8571428571428571</v>
      </c>
      <c r="H16" s="22" t="str">
        <f t="shared" si="1"/>
        <v>Tier 4 — Adaptive</v>
      </c>
    </row>
    <row r="17" spans="2:8" ht="21.75" customHeight="1" x14ac:dyDescent="0.55000000000000004">
      <c r="B17" s="7" t="s">
        <v>323</v>
      </c>
      <c r="C17" s="17">
        <v>17</v>
      </c>
      <c r="D17" s="17">
        <v>9</v>
      </c>
      <c r="E17" s="17">
        <v>2</v>
      </c>
      <c r="F17" s="17">
        <v>4</v>
      </c>
      <c r="G17" s="18">
        <f t="shared" si="0"/>
        <v>0.58823529411764708</v>
      </c>
      <c r="H17" s="19" t="str">
        <f t="shared" si="1"/>
        <v>Tier 3 — Repeatable</v>
      </c>
    </row>
    <row r="18" spans="2:8" ht="21.75" customHeight="1" x14ac:dyDescent="0.55000000000000004">
      <c r="B18" s="8" t="s">
        <v>324</v>
      </c>
      <c r="C18" s="20">
        <v>5</v>
      </c>
      <c r="D18" s="20">
        <v>1</v>
      </c>
      <c r="E18" s="20">
        <v>2</v>
      </c>
      <c r="F18" s="20">
        <v>8</v>
      </c>
      <c r="G18" s="21">
        <f t="shared" si="0"/>
        <v>0.4</v>
      </c>
      <c r="H18" s="22" t="str">
        <f t="shared" si="1"/>
        <v>Tier 2 — Risk Informed</v>
      </c>
    </row>
    <row r="19" spans="2:8" ht="27.75" customHeight="1" x14ac:dyDescent="0.55000000000000004">
      <c r="B19" s="23" t="s">
        <v>325</v>
      </c>
      <c r="C19" s="23">
        <f>SUM(C13:C18)</f>
        <v>88</v>
      </c>
      <c r="D19" s="23">
        <v>68</v>
      </c>
      <c r="E19" s="23">
        <f>SUM(E13:E18)</f>
        <v>13</v>
      </c>
      <c r="F19" s="23">
        <f>SUM(F13:F18)</f>
        <v>31</v>
      </c>
      <c r="G19" s="24">
        <f t="shared" si="0"/>
        <v>0.84659090909090906</v>
      </c>
      <c r="H19" s="23" t="str">
        <f t="shared" si="1"/>
        <v>Tier 4 — Adaptive</v>
      </c>
    </row>
  </sheetData>
  <mergeCells count="8">
    <mergeCell ref="D7:G7"/>
    <mergeCell ref="D8:G8"/>
    <mergeCell ref="D9:G9"/>
    <mergeCell ref="B1:G1"/>
    <mergeCell ref="B2:G2"/>
    <mergeCell ref="B3:G3"/>
    <mergeCell ref="B5:G5"/>
    <mergeCell ref="D6:G6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J19"/>
  <sheetViews>
    <sheetView showGridLines="0"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D5" sqref="D5"/>
    </sheetView>
  </sheetViews>
  <sheetFormatPr defaultColWidth="8.68359375" defaultRowHeight="14.4" x14ac:dyDescent="0.55000000000000004"/>
  <cols>
    <col min="1" max="1" width="3" customWidth="1"/>
    <col min="2" max="2" width="14" customWidth="1"/>
    <col min="3" max="3" width="28" customWidth="1"/>
    <col min="4" max="4" width="42" customWidth="1"/>
    <col min="5" max="6" width="16" customWidth="1"/>
    <col min="7" max="8" width="20" customWidth="1"/>
    <col min="9" max="10" width="18" customWidth="1"/>
  </cols>
  <sheetData>
    <row r="1" spans="2:10" ht="34.5" customHeight="1" x14ac:dyDescent="0.55000000000000004">
      <c r="B1" s="53" t="s">
        <v>326</v>
      </c>
      <c r="C1" s="53"/>
      <c r="D1" s="53"/>
      <c r="E1" s="53"/>
      <c r="F1" s="53"/>
      <c r="G1" s="53"/>
      <c r="H1" s="53"/>
      <c r="I1" s="53"/>
      <c r="J1" s="53"/>
    </row>
    <row r="2" spans="2:10" ht="21.75" customHeight="1" x14ac:dyDescent="0.55000000000000004">
      <c r="B2" s="51" t="s">
        <v>327</v>
      </c>
      <c r="C2" s="51"/>
      <c r="D2" s="51"/>
      <c r="E2" s="51"/>
      <c r="F2" s="51"/>
      <c r="G2" s="51"/>
      <c r="H2" s="51"/>
      <c r="I2" s="51"/>
      <c r="J2" s="51"/>
    </row>
    <row r="4" spans="2:10" ht="24.75" customHeight="1" x14ac:dyDescent="0.55000000000000004">
      <c r="B4" s="16" t="s">
        <v>30</v>
      </c>
      <c r="C4" s="16" t="s">
        <v>314</v>
      </c>
      <c r="D4" s="16" t="s">
        <v>328</v>
      </c>
      <c r="E4" s="16" t="s">
        <v>329</v>
      </c>
      <c r="F4" s="16" t="s">
        <v>330</v>
      </c>
      <c r="G4" s="16" t="s">
        <v>331</v>
      </c>
      <c r="H4" s="16" t="s">
        <v>332</v>
      </c>
      <c r="I4" s="16" t="s">
        <v>333</v>
      </c>
      <c r="J4" s="16" t="s">
        <v>33</v>
      </c>
    </row>
    <row r="5" spans="2:10" ht="30" customHeight="1" x14ac:dyDescent="0.55000000000000004">
      <c r="B5" s="25" t="s">
        <v>59</v>
      </c>
      <c r="C5" s="25" t="s">
        <v>319</v>
      </c>
      <c r="D5" s="25" t="s">
        <v>334</v>
      </c>
      <c r="E5" s="25" t="s">
        <v>335</v>
      </c>
      <c r="F5" s="25" t="s">
        <v>336</v>
      </c>
      <c r="G5" s="25" t="s">
        <v>337</v>
      </c>
      <c r="H5" s="25" t="s">
        <v>338</v>
      </c>
      <c r="I5" s="25" t="s">
        <v>339</v>
      </c>
      <c r="J5" s="25" t="s">
        <v>340</v>
      </c>
    </row>
    <row r="6" spans="2:10" ht="30" customHeight="1" x14ac:dyDescent="0.55000000000000004">
      <c r="B6" s="25" t="s">
        <v>69</v>
      </c>
      <c r="C6" s="25" t="s">
        <v>319</v>
      </c>
      <c r="D6" s="25" t="s">
        <v>341</v>
      </c>
      <c r="E6" s="25" t="s">
        <v>335</v>
      </c>
      <c r="F6" s="25" t="s">
        <v>336</v>
      </c>
      <c r="G6" s="25" t="s">
        <v>342</v>
      </c>
      <c r="H6" s="25" t="s">
        <v>343</v>
      </c>
      <c r="I6" s="25" t="s">
        <v>339</v>
      </c>
      <c r="J6" s="25" t="s">
        <v>340</v>
      </c>
    </row>
    <row r="7" spans="2:10" ht="30" customHeight="1" x14ac:dyDescent="0.55000000000000004">
      <c r="B7" s="25" t="s">
        <v>142</v>
      </c>
      <c r="C7" s="25" t="s">
        <v>321</v>
      </c>
      <c r="D7" s="25" t="s">
        <v>344</v>
      </c>
      <c r="E7" s="25" t="s">
        <v>335</v>
      </c>
      <c r="F7" s="25" t="s">
        <v>336</v>
      </c>
      <c r="G7" s="25" t="s">
        <v>345</v>
      </c>
      <c r="H7" s="25" t="s">
        <v>346</v>
      </c>
      <c r="I7" s="25" t="s">
        <v>347</v>
      </c>
      <c r="J7" s="25" t="s">
        <v>340</v>
      </c>
    </row>
    <row r="8" spans="2:10" ht="30" customHeight="1" x14ac:dyDescent="0.55000000000000004">
      <c r="B8" s="25" t="s">
        <v>153</v>
      </c>
      <c r="C8" s="25" t="s">
        <v>321</v>
      </c>
      <c r="D8" s="25" t="s">
        <v>348</v>
      </c>
      <c r="E8" s="25" t="s">
        <v>335</v>
      </c>
      <c r="F8" s="25" t="s">
        <v>336</v>
      </c>
      <c r="G8" s="25" t="s">
        <v>349</v>
      </c>
      <c r="H8" s="25" t="s">
        <v>350</v>
      </c>
      <c r="I8" s="25" t="s">
        <v>351</v>
      </c>
      <c r="J8" s="25" t="s">
        <v>340</v>
      </c>
    </row>
    <row r="9" spans="2:10" ht="30" customHeight="1" x14ac:dyDescent="0.55000000000000004">
      <c r="B9" s="25" t="s">
        <v>166</v>
      </c>
      <c r="C9" s="25" t="s">
        <v>321</v>
      </c>
      <c r="D9" s="25" t="s">
        <v>352</v>
      </c>
      <c r="E9" s="25" t="s">
        <v>335</v>
      </c>
      <c r="F9" s="25" t="s">
        <v>336</v>
      </c>
      <c r="G9" s="25" t="s">
        <v>353</v>
      </c>
      <c r="H9" s="25" t="s">
        <v>354</v>
      </c>
      <c r="I9" s="25" t="s">
        <v>355</v>
      </c>
      <c r="J9" s="25" t="s">
        <v>340</v>
      </c>
    </row>
    <row r="10" spans="2:10" ht="30" customHeight="1" x14ac:dyDescent="0.55000000000000004">
      <c r="B10" s="25" t="s">
        <v>235</v>
      </c>
      <c r="C10" s="25" t="s">
        <v>323</v>
      </c>
      <c r="D10" s="25" t="s">
        <v>356</v>
      </c>
      <c r="E10" s="25" t="s">
        <v>335</v>
      </c>
      <c r="F10" s="25" t="s">
        <v>336</v>
      </c>
      <c r="G10" s="25" t="s">
        <v>357</v>
      </c>
      <c r="H10" s="25" t="s">
        <v>343</v>
      </c>
      <c r="I10" s="25" t="s">
        <v>339</v>
      </c>
      <c r="J10" s="25" t="s">
        <v>340</v>
      </c>
    </row>
    <row r="11" spans="2:10" ht="30" customHeight="1" x14ac:dyDescent="0.55000000000000004">
      <c r="B11" s="26" t="s">
        <v>99</v>
      </c>
      <c r="C11" s="26" t="s">
        <v>320</v>
      </c>
      <c r="D11" s="26" t="s">
        <v>358</v>
      </c>
      <c r="E11" s="26" t="s">
        <v>359</v>
      </c>
      <c r="F11" s="26" t="s">
        <v>360</v>
      </c>
      <c r="G11" s="26" t="s">
        <v>361</v>
      </c>
      <c r="H11" s="26" t="s">
        <v>346</v>
      </c>
      <c r="I11" s="26" t="s">
        <v>351</v>
      </c>
      <c r="J11" s="26" t="s">
        <v>340</v>
      </c>
    </row>
    <row r="12" spans="2:10" ht="30" customHeight="1" x14ac:dyDescent="0.55000000000000004">
      <c r="B12" s="26" t="s">
        <v>102</v>
      </c>
      <c r="C12" s="26" t="s">
        <v>320</v>
      </c>
      <c r="D12" s="26" t="s">
        <v>362</v>
      </c>
      <c r="E12" s="26" t="s">
        <v>359</v>
      </c>
      <c r="F12" s="26" t="s">
        <v>360</v>
      </c>
      <c r="G12" s="26" t="s">
        <v>363</v>
      </c>
      <c r="H12" s="26" t="s">
        <v>346</v>
      </c>
      <c r="I12" s="26" t="s">
        <v>351</v>
      </c>
      <c r="J12" s="26" t="s">
        <v>340</v>
      </c>
    </row>
    <row r="13" spans="2:10" ht="30" customHeight="1" x14ac:dyDescent="0.55000000000000004">
      <c r="B13" s="26" t="s">
        <v>201</v>
      </c>
      <c r="C13" s="26" t="s">
        <v>322</v>
      </c>
      <c r="D13" s="26" t="s">
        <v>364</v>
      </c>
      <c r="E13" s="26" t="s">
        <v>359</v>
      </c>
      <c r="F13" s="26" t="s">
        <v>360</v>
      </c>
      <c r="G13" s="26" t="s">
        <v>365</v>
      </c>
      <c r="H13" s="26" t="s">
        <v>354</v>
      </c>
      <c r="I13" s="26" t="s">
        <v>366</v>
      </c>
      <c r="J13" s="26" t="s">
        <v>340</v>
      </c>
    </row>
    <row r="14" spans="2:10" ht="30" customHeight="1" x14ac:dyDescent="0.55000000000000004">
      <c r="B14" s="26" t="s">
        <v>189</v>
      </c>
      <c r="C14" s="26" t="s">
        <v>321</v>
      </c>
      <c r="D14" s="26" t="s">
        <v>367</v>
      </c>
      <c r="E14" s="26" t="s">
        <v>359</v>
      </c>
      <c r="F14" s="26" t="s">
        <v>360</v>
      </c>
      <c r="G14" s="26" t="s">
        <v>368</v>
      </c>
      <c r="H14" s="26" t="s">
        <v>354</v>
      </c>
      <c r="I14" s="26" t="s">
        <v>351</v>
      </c>
      <c r="J14" s="26" t="s">
        <v>340</v>
      </c>
    </row>
    <row r="15" spans="2:10" ht="30" customHeight="1" x14ac:dyDescent="0.55000000000000004">
      <c r="B15" s="26" t="s">
        <v>113</v>
      </c>
      <c r="C15" s="26" t="s">
        <v>320</v>
      </c>
      <c r="D15" s="26" t="s">
        <v>369</v>
      </c>
      <c r="E15" s="26" t="s">
        <v>359</v>
      </c>
      <c r="F15" s="26" t="s">
        <v>360</v>
      </c>
      <c r="G15" s="26" t="s">
        <v>370</v>
      </c>
      <c r="H15" s="26" t="s">
        <v>343</v>
      </c>
      <c r="I15" s="26" t="s">
        <v>366</v>
      </c>
      <c r="J15" s="26" t="s">
        <v>340</v>
      </c>
    </row>
    <row r="16" spans="2:10" ht="30" customHeight="1" x14ac:dyDescent="0.55000000000000004">
      <c r="B16" s="27" t="s">
        <v>220</v>
      </c>
      <c r="C16" s="27" t="s">
        <v>322</v>
      </c>
      <c r="D16" s="27" t="s">
        <v>371</v>
      </c>
      <c r="E16" s="27" t="s">
        <v>372</v>
      </c>
      <c r="F16" s="27" t="s">
        <v>373</v>
      </c>
      <c r="G16" s="27" t="s">
        <v>374</v>
      </c>
      <c r="H16" s="27" t="s">
        <v>354</v>
      </c>
      <c r="I16" s="27" t="s">
        <v>375</v>
      </c>
      <c r="J16" s="27" t="s">
        <v>340</v>
      </c>
    </row>
    <row r="17" spans="2:10" ht="30" customHeight="1" x14ac:dyDescent="0.55000000000000004">
      <c r="B17" s="26" t="s">
        <v>279</v>
      </c>
      <c r="C17" s="26" t="s">
        <v>324</v>
      </c>
      <c r="D17" s="26" t="s">
        <v>376</v>
      </c>
      <c r="E17" s="26" t="s">
        <v>359</v>
      </c>
      <c r="F17" s="26" t="s">
        <v>360</v>
      </c>
      <c r="G17" s="26" t="s">
        <v>377</v>
      </c>
      <c r="H17" s="26" t="s">
        <v>343</v>
      </c>
      <c r="I17" s="26" t="s">
        <v>366</v>
      </c>
      <c r="J17" s="26" t="s">
        <v>340</v>
      </c>
    </row>
    <row r="18" spans="2:10" ht="30" customHeight="1" x14ac:dyDescent="0.55000000000000004">
      <c r="B18" s="27" t="s">
        <v>87</v>
      </c>
      <c r="C18" s="27" t="s">
        <v>319</v>
      </c>
      <c r="D18" s="27" t="s">
        <v>378</v>
      </c>
      <c r="E18" s="27" t="s">
        <v>372</v>
      </c>
      <c r="F18" s="27" t="s">
        <v>373</v>
      </c>
      <c r="G18" s="27" t="s">
        <v>379</v>
      </c>
      <c r="H18" s="27" t="s">
        <v>343</v>
      </c>
      <c r="I18" s="27" t="s">
        <v>375</v>
      </c>
      <c r="J18" s="27" t="s">
        <v>340</v>
      </c>
    </row>
    <row r="19" spans="2:10" ht="30" customHeight="1" x14ac:dyDescent="0.55000000000000004">
      <c r="B19" s="26" t="s">
        <v>182</v>
      </c>
      <c r="C19" s="26" t="s">
        <v>321</v>
      </c>
      <c r="D19" s="26" t="s">
        <v>380</v>
      </c>
      <c r="E19" s="26" t="s">
        <v>359</v>
      </c>
      <c r="F19" s="26" t="s">
        <v>360</v>
      </c>
      <c r="G19" s="26" t="s">
        <v>381</v>
      </c>
      <c r="H19" s="26" t="s">
        <v>346</v>
      </c>
      <c r="I19" s="26" t="s">
        <v>351</v>
      </c>
      <c r="J19" s="26" t="s">
        <v>340</v>
      </c>
    </row>
  </sheetData>
  <mergeCells count="2">
    <mergeCell ref="B1:J1"/>
    <mergeCell ref="B2:J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📋 Cover</vt:lpstr>
      <vt:lpstr>GV — Govern</vt:lpstr>
      <vt:lpstr>ID — Identify</vt:lpstr>
      <vt:lpstr>PR — Protect</vt:lpstr>
      <vt:lpstr>DE — Detect</vt:lpstr>
      <vt:lpstr>RS — Respond</vt:lpstr>
      <vt:lpstr>RC — Recover</vt:lpstr>
      <vt:lpstr>📊 Scoring Dashboard</vt:lpstr>
      <vt:lpstr>🛣 Remediation Roadmap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XPS 15</cp:lastModifiedBy>
  <cp:revision>0</cp:revision>
  <dcterms:created xsi:type="dcterms:W3CDTF">2026-05-31T10:30:49Z</dcterms:created>
  <dcterms:modified xsi:type="dcterms:W3CDTF">2026-06-02T17:48:04Z</dcterms:modified>
  <dc:language>en-US</dc:language>
</cp:coreProperties>
</file>